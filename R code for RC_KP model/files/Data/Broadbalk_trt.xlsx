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om_schut_wur_nl/Documents/Programmed models/RC-PK/Data/"/>
    </mc:Choice>
  </mc:AlternateContent>
  <xr:revisionPtr revIDLastSave="103" documentId="8_{279E88CB-503D-4AF1-AA26-2E92B1D87D2A}" xr6:coauthVersionLast="47" xr6:coauthVersionMax="47" xr10:uidLastSave="{A7C88574-BF73-44ED-A836-6B36F86C7365}"/>
  <bookViews>
    <workbookView xWindow="4050" yWindow="6405" windowWidth="21600" windowHeight="13425" tabRatio="727" firstSheet="1" activeTab="1" xr2:uid="{FEF62387-01B3-4440-A05F-90899FB4780C}"/>
  </bookViews>
  <sheets>
    <sheet name="Info" sheetId="3" r:id="rId1"/>
    <sheet name="Plot" sheetId="17" r:id="rId2"/>
    <sheet name="Fertilizers" sheetId="15" r:id="rId3"/>
    <sheet name="FYM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" i="16" l="1"/>
  <c r="D4" i="15"/>
  <c r="D3" i="15"/>
  <c r="Q53" i="16"/>
  <c r="V53" i="16" s="1"/>
  <c r="S52" i="16"/>
  <c r="Q51" i="16"/>
  <c r="V51" i="16" s="1"/>
  <c r="Q50" i="16"/>
  <c r="S50" i="16" s="1"/>
  <c r="Q49" i="16"/>
  <c r="V49" i="16" s="1"/>
  <c r="Q48" i="16"/>
  <c r="T48" i="16" s="1"/>
  <c r="Q47" i="16"/>
  <c r="V47" i="16" s="1"/>
  <c r="Q46" i="16"/>
  <c r="S46" i="16" s="1"/>
  <c r="Q45" i="16"/>
  <c r="V45" i="16" s="1"/>
  <c r="Q44" i="16"/>
  <c r="R44" i="16" s="1"/>
  <c r="Q43" i="16"/>
  <c r="V43" i="16" s="1"/>
  <c r="Q42" i="16"/>
  <c r="T42" i="16" s="1"/>
  <c r="Q41" i="16"/>
  <c r="V41" i="16" s="1"/>
  <c r="Q40" i="16"/>
  <c r="R40" i="16" s="1"/>
  <c r="Q39" i="16"/>
  <c r="V39" i="16" s="1"/>
  <c r="Q38" i="16"/>
  <c r="R38" i="16" s="1"/>
  <c r="Q37" i="16"/>
  <c r="V37" i="16" s="1"/>
  <c r="Q36" i="16"/>
  <c r="S36" i="16" s="1"/>
  <c r="Q35" i="16"/>
  <c r="V35" i="16" s="1"/>
  <c r="Q34" i="16"/>
  <c r="V34" i="16" s="1"/>
  <c r="Q33" i="16"/>
  <c r="V33" i="16" s="1"/>
  <c r="Q32" i="16"/>
  <c r="V32" i="16" s="1"/>
  <c r="Q31" i="16"/>
  <c r="V31" i="16" s="1"/>
  <c r="Q30" i="16"/>
  <c r="T30" i="16" s="1"/>
  <c r="Q29" i="16"/>
  <c r="V29" i="16" s="1"/>
  <c r="Q28" i="16"/>
  <c r="T28" i="16" s="1"/>
  <c r="Q27" i="16"/>
  <c r="V27" i="16" s="1"/>
  <c r="Q26" i="16"/>
  <c r="S26" i="16" s="1"/>
  <c r="Q25" i="16"/>
  <c r="V25" i="16" s="1"/>
  <c r="Q24" i="16"/>
  <c r="V24" i="16" s="1"/>
  <c r="Q23" i="16"/>
  <c r="V23" i="16" s="1"/>
  <c r="Q22" i="16"/>
  <c r="V22" i="16" s="1"/>
  <c r="Q21" i="16"/>
  <c r="V21" i="16" s="1"/>
  <c r="Q20" i="16"/>
  <c r="V20" i="16" s="1"/>
  <c r="Q19" i="16"/>
  <c r="V19" i="16" s="1"/>
  <c r="Q18" i="16"/>
  <c r="T18" i="16" s="1"/>
  <c r="Q17" i="16"/>
  <c r="V17" i="16" s="1"/>
  <c r="Q16" i="16"/>
  <c r="V16" i="16" s="1"/>
  <c r="Q15" i="16"/>
  <c r="V15" i="16" s="1"/>
  <c r="Q14" i="16"/>
  <c r="U14" i="16" s="1"/>
  <c r="Q13" i="16"/>
  <c r="V13" i="16" s="1"/>
  <c r="Q12" i="16"/>
  <c r="R12" i="16" s="1"/>
  <c r="Q11" i="16"/>
  <c r="V11" i="16" s="1"/>
  <c r="T10" i="16"/>
  <c r="Q10" i="16"/>
  <c r="U10" i="16" s="1"/>
  <c r="Q9" i="16"/>
  <c r="V9" i="16" s="1"/>
  <c r="Q8" i="16"/>
  <c r="R8" i="16" s="1"/>
  <c r="Q7" i="16"/>
  <c r="V7" i="16" s="1"/>
  <c r="Q6" i="16"/>
  <c r="U6" i="16" s="1"/>
  <c r="Q5" i="16"/>
  <c r="V5" i="16" s="1"/>
  <c r="Q4" i="16"/>
  <c r="V4" i="16" s="1"/>
  <c r="Q3" i="16"/>
  <c r="V3" i="16" s="1"/>
  <c r="V2" i="16"/>
  <c r="U2" i="16"/>
  <c r="T2" i="16"/>
  <c r="S2" i="16"/>
  <c r="R2" i="16"/>
  <c r="Q2" i="16"/>
  <c r="F53" i="16"/>
  <c r="F52" i="16"/>
  <c r="F51" i="16"/>
  <c r="I50" i="16"/>
  <c r="F50" i="16"/>
  <c r="I49" i="16"/>
  <c r="F49" i="16"/>
  <c r="I48" i="16"/>
  <c r="F48" i="16"/>
  <c r="I47" i="16"/>
  <c r="F47" i="16"/>
  <c r="I46" i="16"/>
  <c r="F46" i="16"/>
  <c r="I45" i="16"/>
  <c r="F45" i="16"/>
  <c r="I44" i="16"/>
  <c r="F44" i="16"/>
  <c r="I43" i="16"/>
  <c r="F43" i="16"/>
  <c r="I42" i="16"/>
  <c r="F42" i="16"/>
  <c r="I41" i="16"/>
  <c r="F41" i="16"/>
  <c r="I40" i="16"/>
  <c r="F40" i="16"/>
  <c r="I39" i="16"/>
  <c r="F39" i="16"/>
  <c r="I38" i="16"/>
  <c r="F38" i="16"/>
  <c r="F37" i="16"/>
  <c r="I36" i="16"/>
  <c r="F36" i="16"/>
  <c r="I35" i="16"/>
  <c r="F35" i="16"/>
  <c r="I34" i="16"/>
  <c r="F34" i="16"/>
  <c r="I33" i="16"/>
  <c r="F33" i="16"/>
  <c r="I32" i="16"/>
  <c r="F32" i="16"/>
  <c r="I31" i="16"/>
  <c r="F31" i="16"/>
  <c r="I30" i="16"/>
  <c r="F30" i="16"/>
  <c r="I29" i="16"/>
  <c r="F29" i="16"/>
  <c r="I28" i="16"/>
  <c r="F28" i="16"/>
  <c r="I27" i="16"/>
  <c r="F27" i="16"/>
  <c r="I26" i="16"/>
  <c r="F26" i="16"/>
  <c r="I25" i="16"/>
  <c r="F25" i="16"/>
  <c r="I24" i="16"/>
  <c r="F24" i="16"/>
  <c r="I23" i="16"/>
  <c r="F23" i="16"/>
  <c r="I22" i="16"/>
  <c r="F22" i="16"/>
  <c r="I21" i="16"/>
  <c r="F21" i="16"/>
  <c r="I20" i="16"/>
  <c r="F20" i="16"/>
  <c r="I19" i="16"/>
  <c r="F19" i="16"/>
  <c r="I18" i="16"/>
  <c r="F18" i="16"/>
  <c r="I17" i="16"/>
  <c r="F17" i="16"/>
  <c r="I16" i="16"/>
  <c r="F16" i="16"/>
  <c r="I15" i="16"/>
  <c r="F15" i="16"/>
  <c r="I14" i="16"/>
  <c r="F14" i="16"/>
  <c r="I13" i="16"/>
  <c r="F13" i="16"/>
  <c r="I12" i="16"/>
  <c r="F12" i="16"/>
  <c r="I11" i="16"/>
  <c r="F11" i="16"/>
  <c r="I10" i="16"/>
  <c r="F10" i="16"/>
  <c r="F9" i="16"/>
  <c r="F8" i="16"/>
  <c r="F7" i="16"/>
  <c r="F6" i="16"/>
  <c r="F5" i="16"/>
  <c r="F4" i="16"/>
  <c r="F3" i="16"/>
  <c r="F2" i="16"/>
  <c r="S48" i="16" l="1"/>
  <c r="T20" i="16"/>
  <c r="T32" i="16"/>
  <c r="T44" i="16"/>
  <c r="T52" i="16"/>
  <c r="T40" i="16"/>
  <c r="U12" i="16"/>
  <c r="U16" i="16"/>
  <c r="U22" i="16"/>
  <c r="U24" i="16"/>
  <c r="U26" i="16"/>
  <c r="U28" i="16"/>
  <c r="U30" i="16"/>
  <c r="U32" i="16"/>
  <c r="U34" i="16"/>
  <c r="U36" i="16"/>
  <c r="U38" i="16"/>
  <c r="U40" i="16"/>
  <c r="U42" i="16"/>
  <c r="U44" i="16"/>
  <c r="U46" i="16"/>
  <c r="U48" i="16"/>
  <c r="U50" i="16"/>
  <c r="U52" i="16"/>
  <c r="R36" i="16"/>
  <c r="S12" i="16"/>
  <c r="S34" i="16"/>
  <c r="T16" i="16"/>
  <c r="T46" i="16"/>
  <c r="V10" i="16"/>
  <c r="V28" i="16"/>
  <c r="V30" i="16"/>
  <c r="V36" i="16"/>
  <c r="V38" i="16"/>
  <c r="V40" i="16"/>
  <c r="V42" i="16"/>
  <c r="V44" i="16"/>
  <c r="V46" i="16"/>
  <c r="V48" i="16"/>
  <c r="V50" i="16"/>
  <c r="V52" i="16"/>
  <c r="R16" i="16"/>
  <c r="R48" i="16"/>
  <c r="T8" i="16"/>
  <c r="T26" i="16"/>
  <c r="T36" i="16"/>
  <c r="U8" i="16"/>
  <c r="V18" i="16"/>
  <c r="R30" i="16"/>
  <c r="S4" i="16"/>
  <c r="S40" i="16"/>
  <c r="T4" i="16"/>
  <c r="T34" i="16"/>
  <c r="U20" i="16"/>
  <c r="R19" i="16"/>
  <c r="R53" i="16"/>
  <c r="R14" i="16"/>
  <c r="S10" i="16"/>
  <c r="T38" i="16"/>
  <c r="S49" i="16"/>
  <c r="R6" i="16"/>
  <c r="R10" i="16"/>
  <c r="R20" i="16"/>
  <c r="R24" i="16"/>
  <c r="R28" i="16"/>
  <c r="R34" i="16"/>
  <c r="R46" i="16"/>
  <c r="R52" i="16"/>
  <c r="S8" i="16"/>
  <c r="S16" i="16"/>
  <c r="S20" i="16"/>
  <c r="S24" i="16"/>
  <c r="S28" i="16"/>
  <c r="S32" i="16"/>
  <c r="S38" i="16"/>
  <c r="S44" i="16"/>
  <c r="T6" i="16"/>
  <c r="T14" i="16"/>
  <c r="T24" i="16"/>
  <c r="T50" i="16"/>
  <c r="U18" i="16"/>
  <c r="V8" i="16"/>
  <c r="V14" i="16"/>
  <c r="V26" i="16"/>
  <c r="R3" i="16"/>
  <c r="R7" i="16"/>
  <c r="R13" i="16"/>
  <c r="R17" i="16"/>
  <c r="R23" i="16"/>
  <c r="R27" i="16"/>
  <c r="R31" i="16"/>
  <c r="R35" i="16"/>
  <c r="R39" i="16"/>
  <c r="R43" i="16"/>
  <c r="R47" i="16"/>
  <c r="R49" i="16"/>
  <c r="S3" i="16"/>
  <c r="S7" i="16"/>
  <c r="S9" i="16"/>
  <c r="S13" i="16"/>
  <c r="S17" i="16"/>
  <c r="S21" i="16"/>
  <c r="S27" i="16"/>
  <c r="S31" i="16"/>
  <c r="S35" i="16"/>
  <c r="S39" i="16"/>
  <c r="S43" i="16"/>
  <c r="S45" i="16"/>
  <c r="S51" i="16"/>
  <c r="T3" i="16"/>
  <c r="T5" i="16"/>
  <c r="T7" i="16"/>
  <c r="T9" i="16"/>
  <c r="T11" i="16"/>
  <c r="T13" i="16"/>
  <c r="T15" i="16"/>
  <c r="T17" i="16"/>
  <c r="T19" i="16"/>
  <c r="T21" i="16"/>
  <c r="T23" i="16"/>
  <c r="T25" i="16"/>
  <c r="T27" i="16"/>
  <c r="T29" i="16"/>
  <c r="T31" i="16"/>
  <c r="T33" i="16"/>
  <c r="T35" i="16"/>
  <c r="T37" i="16"/>
  <c r="T39" i="16"/>
  <c r="T41" i="16"/>
  <c r="T43" i="16"/>
  <c r="T45" i="16"/>
  <c r="T47" i="16"/>
  <c r="T49" i="16"/>
  <c r="T51" i="16"/>
  <c r="T53" i="16"/>
  <c r="R4" i="16"/>
  <c r="R18" i="16"/>
  <c r="R22" i="16"/>
  <c r="R26" i="16"/>
  <c r="R32" i="16"/>
  <c r="R42" i="16"/>
  <c r="R50" i="16"/>
  <c r="S6" i="16"/>
  <c r="S14" i="16"/>
  <c r="S18" i="16"/>
  <c r="S22" i="16"/>
  <c r="S30" i="16"/>
  <c r="S42" i="16"/>
  <c r="T12" i="16"/>
  <c r="T22" i="16"/>
  <c r="U4" i="16"/>
  <c r="V6" i="16"/>
  <c r="V12" i="16"/>
  <c r="R5" i="16"/>
  <c r="R9" i="16"/>
  <c r="R11" i="16"/>
  <c r="R15" i="16"/>
  <c r="R21" i="16"/>
  <c r="R25" i="16"/>
  <c r="R29" i="16"/>
  <c r="R33" i="16"/>
  <c r="R37" i="16"/>
  <c r="R41" i="16"/>
  <c r="R45" i="16"/>
  <c r="R51" i="16"/>
  <c r="S5" i="16"/>
  <c r="S11" i="16"/>
  <c r="S15" i="16"/>
  <c r="S19" i="16"/>
  <c r="S23" i="16"/>
  <c r="S25" i="16"/>
  <c r="S29" i="16"/>
  <c r="S33" i="16"/>
  <c r="S37" i="16"/>
  <c r="S41" i="16"/>
  <c r="S47" i="16"/>
  <c r="S53" i="16"/>
  <c r="U3" i="16"/>
  <c r="U5" i="16"/>
  <c r="U7" i="16"/>
  <c r="U9" i="16"/>
  <c r="U11" i="16"/>
  <c r="U13" i="16"/>
  <c r="U15" i="16"/>
  <c r="U17" i="16"/>
  <c r="U19" i="16"/>
  <c r="U21" i="16"/>
  <c r="U23" i="16"/>
  <c r="U25" i="16"/>
  <c r="U27" i="16"/>
  <c r="U29" i="16"/>
  <c r="U31" i="16"/>
  <c r="U33" i="16"/>
  <c r="U35" i="16"/>
  <c r="U37" i="16"/>
  <c r="U39" i="16"/>
  <c r="U41" i="16"/>
  <c r="U43" i="16"/>
  <c r="U45" i="16"/>
  <c r="U47" i="16"/>
  <c r="U49" i="16"/>
  <c r="U51" i="16"/>
  <c r="U53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DDC76E-10E6-42D7-BB0A-F58785CE302D}" keepAlive="1" name="Query - Beans" description="Connection to the 'Beans' query in the workbook." type="5" refreshedVersion="7" background="1" saveData="1">
    <dbPr connection="Provider=Microsoft.Mashup.OleDb.1;Data Source=$Workbook$;Location=Beans;Extended Properties=&quot;&quot;" command="SELECT * FROM [Beans]"/>
  </connection>
  <connection id="2" xr16:uid="{EC2518D2-1503-4752-95E6-C38B1A57BE27}" keepAlive="1" name="Query - BeansNutrients" description="Connection to the 'BeansNutrients' query in the workbook." type="5" refreshedVersion="7" background="1" saveData="1">
    <dbPr connection="Provider=Microsoft.Mashup.OleDb.1;Data Source=$Workbook$;Location=BeansNutrients;Extended Properties=&quot;&quot;" command="SELECT * FROM [BeansNutrients]"/>
  </connection>
  <connection id="3" xr16:uid="{3EB1ED58-60AA-4602-B959-15D98C1891B3}" keepAlive="1" name="Query - Maize" description="Connection to the 'Maize' query in the workbook." type="5" refreshedVersion="7" background="1" saveData="1">
    <dbPr connection="Provider=Microsoft.Mashup.OleDb.1;Data Source=$Workbook$;Location=Maize;Extended Properties=&quot;&quot;" command="SELECT * FROM [Maize]"/>
  </connection>
  <connection id="4" xr16:uid="{4E49C6DF-1D11-4EAD-A055-5EA636F9084C}" keepAlive="1" name="Query - MaizeNutrients" description="Connection to the 'MaizeNutrients' query in the workbook." type="5" refreshedVersion="0" background="1">
    <dbPr connection="Provider=Microsoft.Mashup.OleDb.1;Data Source=$Workbook$;Location=MaizeNutrients;Extended Properties=&quot;&quot;" command="SELECT * FROM [MaizeNutrients]"/>
  </connection>
  <connection id="5" xr16:uid="{E9025254-E973-4D84-851D-CF551F0F2289}" keepAlive="1" name="Query - MaizeNutrients (2)" description="Connection to the 'MaizeNutrients (2)' query in the workbook." type="5" refreshedVersion="7" background="1" saveData="1">
    <dbPr connection="Provider=Microsoft.Mashup.OleDb.1;Data Source=$Workbook$;Location=&quot;MaizeNutrients (2)&quot;;Extended Properties=&quot;&quot;" command="SELECT * FROM [MaizeNutrients (2)]"/>
  </connection>
  <connection id="6" xr16:uid="{79ED7723-E01B-4798-A8FF-5644E1767608}" keepAlive="1" name="Query - NutrientsWheat" description="Connection to the 'NutrientsWheat' query in the workbook." type="5" refreshedVersion="0" background="1">
    <dbPr connection="Provider=Microsoft.Mashup.OleDb.1;Data Source=$Workbook$;Location=NutrientsWheat;Extended Properties=&quot;&quot;" command="SELECT * FROM [NutrientsWheat]"/>
  </connection>
  <connection id="7" xr16:uid="{6AE7DFE4-D184-437D-910F-DD8517F752D6}" keepAlive="1" name="Query - NutrientsWheat (2)" description="Connection to the 'NutrientsWheat (2)' query in the workbook." type="5" refreshedVersion="7" background="1" saveData="1">
    <dbPr connection="Provider=Microsoft.Mashup.OleDb.1;Data Source=$Workbook$;Location=&quot;NutrientsWheat (2)&quot;;Extended Properties=&quot;&quot;" command="SELECT * FROM [NutrientsWheat (2)]"/>
  </connection>
  <connection id="8" xr16:uid="{53C176B8-8CF0-417C-BCD2-768AACBCD6E4}" keepAlive="1" name="Query - Oats" description="Connection to the 'Oats' query in the workbook." type="5" refreshedVersion="7" background="1" saveData="1">
    <dbPr connection="Provider=Microsoft.Mashup.OleDb.1;Data Source=$Workbook$;Location=Oats;Extended Properties=&quot;&quot;" command="SELECT * FROM [Oats]"/>
  </connection>
  <connection id="9" xr16:uid="{3BC855C5-08D0-4A0B-9A2E-5665B55E48FD}" keepAlive="1" name="Query - OatsNutrients" description="Connection to the 'OatsNutrients' query in the workbook." type="5" refreshedVersion="0" background="1">
    <dbPr connection="Provider=Microsoft.Mashup.OleDb.1;Data Source=$Workbook$;Location=OatsNutrients;Extended Properties=&quot;&quot;" command="SELECT * FROM [OatsNutrients]"/>
  </connection>
  <connection id="10" xr16:uid="{683826ED-CED7-499F-99E4-A7789CC0C2B8}" keepAlive="1" name="Query - Potato" description="Connection to the 'Potato' query in the workbook." type="5" refreshedVersion="7" background="1" saveData="1">
    <dbPr connection="Provider=Microsoft.Mashup.OleDb.1;Data Source=$Workbook$;Location=Potato;Extended Properties=&quot;&quot;" command="SELECT * FROM [Potato]"/>
  </connection>
  <connection id="11" xr16:uid="{F2F7741E-6E2E-4CC3-A900-36D0F1210212}" keepAlive="1" name="Query - PotatoNutrients" description="Connection to the 'PotatoNutrients' query in the workbook." type="5" refreshedVersion="0" background="1">
    <dbPr connection="Provider=Microsoft.Mashup.OleDb.1;Data Source=$Workbook$;Location=PotatoNutrients;Extended Properties=&quot;&quot;" command="SELECT * FROM [PotatoNutrients]"/>
  </connection>
  <connection id="12" xr16:uid="{B9662B68-EEC8-43DD-8B1D-555C08ED1A04}" keepAlive="1" name="Query - PotatoNutrients (2)" description="Connection to the 'PotatoNutrients (2)' query in the workbook." type="5" refreshedVersion="7" background="1" saveData="1">
    <dbPr connection="Provider=Microsoft.Mashup.OleDb.1;Data Source=$Workbook$;Location=&quot;PotatoNutrients (2)&quot;;Extended Properties=&quot;&quot;" command="SELECT * FROM [PotatoNutrients (2)]"/>
  </connection>
  <connection id="13" xr16:uid="{E6DAA0F7-F054-423C-B706-B358EB6B5A5F}" keepAlive="1" name="Query - test" description="Connection to the 'test' query in the workbook." type="5" refreshedVersion="7" background="1" saveData="1">
    <dbPr connection="Provider=Microsoft.Mashup.OleDb.1;Data Source=$Workbook$;Location=test;Extended Properties=&quot;&quot;" command="SELECT * FROM [test]"/>
  </connection>
  <connection id="14" xr16:uid="{592F4E94-25FF-43D2-B40B-35960CEF6C2B}" keepAlive="1" name="Query - WheatNutrients" description="Connection to the 'WheatNutrients' query in the workbook." type="5" refreshedVersion="0" background="1">
    <dbPr connection="Provider=Microsoft.Mashup.OleDb.1;Data Source=$Workbook$;Location=WheatNutrients;Extended Properties=&quot;&quot;" command="SELECT * FROM [WheatNutrients]"/>
  </connection>
  <connection id="15" xr16:uid="{481894A8-A7E0-41B4-9640-D98A6C83D3B9}" keepAlive="1" name="Query - WheatNutrients (2)" description="Connection to the 'WheatNutrients (2)' query in the workbook." type="5" refreshedVersion="7" background="1" saveData="1">
    <dbPr connection="Provider=Microsoft.Mashup.OleDb.1;Data Source=$Workbook$;Location=&quot;WheatNutrients (2)&quot;;Extended Properties=&quot;&quot;" command="SELECT * FROM [WheatNutrients (2)]"/>
  </connection>
  <connection id="16" xr16:uid="{B0080949-2177-4DD6-A8E3-33E064992CD2}" keepAlive="1" name="Query - Wheats" description="Connection to the 'Wheats' query in the workbook." type="5" refreshedVersion="7" background="1" saveData="1">
    <dbPr connection="Provider=Microsoft.Mashup.OleDb.1;Data Source=$Workbook$;Location=Wheats;Extended Properties=&quot;&quot;" command="SELECT * FROM [Wheats]"/>
  </connection>
</connections>
</file>

<file path=xl/sharedStrings.xml><?xml version="1.0" encoding="utf-8"?>
<sst xmlns="http://schemas.openxmlformats.org/spreadsheetml/2006/main" count="461" uniqueCount="253">
  <si>
    <t>plot</t>
  </si>
  <si>
    <t>%</t>
  </si>
  <si>
    <t>Treatments</t>
  </si>
  <si>
    <t xml:space="preserve">   Treatments</t>
  </si>
  <si>
    <t xml:space="preserve">    Treatments</t>
  </si>
  <si>
    <t>1852-1967</t>
  </si>
  <si>
    <t>from 1968</t>
  </si>
  <si>
    <t xml:space="preserve">   from 1985</t>
  </si>
  <si>
    <t xml:space="preserve">    from 2001</t>
  </si>
  <si>
    <t xml:space="preserve">    from 2006</t>
  </si>
  <si>
    <t>Nil</t>
  </si>
  <si>
    <t xml:space="preserve"> PKNaMg</t>
  </si>
  <si>
    <t>PK(Na)Mg</t>
  </si>
  <si>
    <t xml:space="preserve">N2  </t>
  </si>
  <si>
    <t xml:space="preserve">N2 </t>
  </si>
  <si>
    <t xml:space="preserve">N2  P </t>
  </si>
  <si>
    <t xml:space="preserve">N2  PK </t>
  </si>
  <si>
    <t>N2  PMg*</t>
  </si>
  <si>
    <t>N2  PKMg*</t>
  </si>
  <si>
    <t>-</t>
  </si>
  <si>
    <t>FYM N2 PK</t>
  </si>
  <si>
    <t xml:space="preserve">   FYM N4 PK</t>
  </si>
  <si>
    <t xml:space="preserve">    (FYM) N4</t>
  </si>
  <si>
    <t xml:space="preserve">   Nil</t>
  </si>
  <si>
    <t xml:space="preserve">     Nil</t>
  </si>
  <si>
    <t>PKMg</t>
  </si>
  <si>
    <t xml:space="preserve">          (P)KMg</t>
  </si>
  <si>
    <t xml:space="preserve">   N2   </t>
  </si>
  <si>
    <t xml:space="preserve">    N4   </t>
  </si>
  <si>
    <t xml:space="preserve">   N2  P </t>
  </si>
  <si>
    <t xml:space="preserve">    N4   PMg</t>
  </si>
  <si>
    <t xml:space="preserve">   N2  PK</t>
  </si>
  <si>
    <t xml:space="preserve">    N4   PK</t>
  </si>
  <si>
    <t xml:space="preserve">   N2  PKMg*</t>
  </si>
  <si>
    <t xml:space="preserve">    N4   PK*(Mg*)</t>
  </si>
  <si>
    <t xml:space="preserve">FYM  </t>
  </si>
  <si>
    <t xml:space="preserve">   FYM  </t>
  </si>
  <si>
    <t xml:space="preserve">     FYM   </t>
  </si>
  <si>
    <t>Crop</t>
  </si>
  <si>
    <t>TOTAL_GRAIN</t>
  </si>
  <si>
    <t>t/ha</t>
  </si>
  <si>
    <t>TOTAL_STRAW</t>
  </si>
  <si>
    <t>Total yield of straw at 85% dry matter</t>
  </si>
  <si>
    <t>Parameter</t>
  </si>
  <si>
    <t>DMGRAIN</t>
  </si>
  <si>
    <t>Grain % dry matter when harvested</t>
  </si>
  <si>
    <t>DMSTRAW</t>
  </si>
  <si>
    <t>Straw % dry matter when harvested</t>
  </si>
  <si>
    <t>PLOT</t>
  </si>
  <si>
    <t>Plot number</t>
  </si>
  <si>
    <t>SECTION</t>
  </si>
  <si>
    <t>Section of plot</t>
  </si>
  <si>
    <t>YEAR</t>
  </si>
  <si>
    <t>Harvest Year</t>
  </si>
  <si>
    <t>Units</t>
  </si>
  <si>
    <t>Explanation</t>
  </si>
  <si>
    <t>Yield of total grain at 85% dry matter</t>
  </si>
  <si>
    <t>DMTUBERS</t>
  </si>
  <si>
    <t>% dry matter of tubers</t>
  </si>
  <si>
    <t>FW_TUBERS</t>
  </si>
  <si>
    <t>Fresh yield of tubers</t>
  </si>
  <si>
    <t>N_TU</t>
  </si>
  <si>
    <t>% N in tubers</t>
  </si>
  <si>
    <t>K_TU</t>
  </si>
  <si>
    <t>% K in tubers</t>
  </si>
  <si>
    <t>P_TU</t>
  </si>
  <si>
    <t>% P in tubers</t>
  </si>
  <si>
    <t>K_GRAIN</t>
  </si>
  <si>
    <t>% K in grain</t>
  </si>
  <si>
    <t>K_STRAW</t>
  </si>
  <si>
    <t>% K in straw</t>
  </si>
  <si>
    <t>N_GRAIN</t>
  </si>
  <si>
    <t>% N in grain</t>
  </si>
  <si>
    <t>N_STRAW</t>
  </si>
  <si>
    <t>% N in straw</t>
  </si>
  <si>
    <t>P_GRAIN</t>
  </si>
  <si>
    <t>% P in grain</t>
  </si>
  <si>
    <t>P_STRAW</t>
  </si>
  <si>
    <t>% P in straw</t>
  </si>
  <si>
    <t>N_GR</t>
  </si>
  <si>
    <t>N_ST</t>
  </si>
  <si>
    <t>P_GR</t>
  </si>
  <si>
    <t>P_ST</t>
  </si>
  <si>
    <t>K_GR</t>
  </si>
  <si>
    <t>K_ST</t>
  </si>
  <si>
    <t>Maize</t>
  </si>
  <si>
    <t>(NB: Herbicide damage to crop in 2013)</t>
  </si>
  <si>
    <t>N</t>
  </si>
  <si>
    <t>% N in whole crop</t>
  </si>
  <si>
    <t>K</t>
  </si>
  <si>
    <t>% K in whole crop</t>
  </si>
  <si>
    <t>P</t>
  </si>
  <si>
    <t>% P in whole crop</t>
  </si>
  <si>
    <t>TOTAL_YIELD</t>
  </si>
  <si>
    <t>Yield of whole crop at 100% dry matter</t>
  </si>
  <si>
    <t>DRY_MATTER</t>
  </si>
  <si>
    <t>% dry matter of whole crop at harvest</t>
  </si>
  <si>
    <t>Wheat</t>
  </si>
  <si>
    <t>Potatoes</t>
  </si>
  <si>
    <t>Beans, Oats</t>
  </si>
  <si>
    <t>Broadbalk includes wheat, also oats, maize, potatoes and beans. </t>
  </si>
  <si>
    <t>Section</t>
  </si>
  <si>
    <t>2,3,4 &amp; 7</t>
  </si>
  <si>
    <t>Wheat in rotation</t>
  </si>
  <si>
    <t>0,1,6,9</t>
  </si>
  <si>
    <t>Wheat continuously</t>
  </si>
  <si>
    <t>no weedkillers: Yields very low</t>
  </si>
  <si>
    <t>Straw incorporated</t>
  </si>
  <si>
    <t>Fertilizer applications to the non-wheat crops in the rotational sections (2, 3, 4, 5 and 7):</t>
  </si>
  <si>
    <t>From 2018 onwards the rotation is Wheat&gt;Wheat&gt;Oats&gt;Wheat&gt;Beans. The oats receives N at half of the normal rate (see above); the beans do not receive N or FYM.</t>
  </si>
  <si>
    <t>In the previous rotation, Wheat&gt;Wheat&gt;Wheat&gt;Oats&gt;Maize from 1996-2017, oats did not receive N or FYM.</t>
  </si>
  <si>
    <t>In earlier rotations from 1968-1996, beans and potatoes received N, FYM (and PK etc) at the same rate as wheat</t>
  </si>
  <si>
    <t>Fallow management:</t>
  </si>
  <si>
    <t>From autumn 1967 onwards, FYM and the autumn fertilizers (P,K, Na, Mg and Castor meal) were applied to the fallow sections</t>
  </si>
  <si>
    <t>of the rotational sections (and Section 8 when fallowed). N was NOT applied.</t>
  </si>
  <si>
    <t>This is in contrast to the management of the fallow sections 1926-1967, when no fertilizers or manures were applied to those</t>
  </si>
  <si>
    <t>sections which were fallowed to control weeds in the continuous wheat sections.</t>
  </si>
  <si>
    <t>All</t>
  </si>
  <si>
    <t>Treatment</t>
  </si>
  <si>
    <t>Period</t>
  </si>
  <si>
    <t>FYM</t>
  </si>
  <si>
    <t>S No.</t>
  </si>
  <si>
    <t>S 7954</t>
  </si>
  <si>
    <t>S 7983</t>
  </si>
  <si>
    <t>S 8004</t>
  </si>
  <si>
    <t>S 8030</t>
  </si>
  <si>
    <t>S 8045</t>
  </si>
  <si>
    <t>S 8062</t>
  </si>
  <si>
    <t>S 8069</t>
  </si>
  <si>
    <t>S 8083</t>
  </si>
  <si>
    <t>S 8091</t>
  </si>
  <si>
    <t>Aut 1975</t>
  </si>
  <si>
    <t>S 8104</t>
  </si>
  <si>
    <t xml:space="preserve"> 10/1976</t>
  </si>
  <si>
    <t>S 8112</t>
  </si>
  <si>
    <t xml:space="preserve"> 10/1977</t>
  </si>
  <si>
    <t>S 8120</t>
  </si>
  <si>
    <t xml:space="preserve"> 10/1978</t>
  </si>
  <si>
    <t>S 8131</t>
  </si>
  <si>
    <t xml:space="preserve"> 09/1979</t>
  </si>
  <si>
    <t>S 8136</t>
  </si>
  <si>
    <t>S 8144</t>
  </si>
  <si>
    <t xml:space="preserve"> 09/1981</t>
  </si>
  <si>
    <t>S 8156</t>
  </si>
  <si>
    <t xml:space="preserve"> 09/1982</t>
  </si>
  <si>
    <t>S 8166</t>
  </si>
  <si>
    <t>S 8175</t>
  </si>
  <si>
    <t>Aut 1984</t>
  </si>
  <si>
    <t>S 8180</t>
  </si>
  <si>
    <t>Aut 1985</t>
  </si>
  <si>
    <t>S 8185</t>
  </si>
  <si>
    <t>S 8192</t>
  </si>
  <si>
    <t>S 8195</t>
  </si>
  <si>
    <t>S 8200</t>
  </si>
  <si>
    <t xml:space="preserve"> 09/1989</t>
  </si>
  <si>
    <t>S 8204</t>
  </si>
  <si>
    <t>S 8206</t>
  </si>
  <si>
    <t>S 8208</t>
  </si>
  <si>
    <t>S 8211</t>
  </si>
  <si>
    <t>S 8215</t>
  </si>
  <si>
    <t>S 8227</t>
  </si>
  <si>
    <t>S 8229</t>
  </si>
  <si>
    <t>S 8237</t>
  </si>
  <si>
    <t>S 8242</t>
  </si>
  <si>
    <t>S 8246</t>
  </si>
  <si>
    <t>S 8251</t>
  </si>
  <si>
    <t>S 8256</t>
  </si>
  <si>
    <t>S 8260</t>
  </si>
  <si>
    <t>nd</t>
  </si>
  <si>
    <t>S 8269</t>
  </si>
  <si>
    <t>S 8276</t>
  </si>
  <si>
    <t>S 8305</t>
  </si>
  <si>
    <t>S 8353</t>
  </si>
  <si>
    <t>S 8356</t>
  </si>
  <si>
    <t>S 8373</t>
  </si>
  <si>
    <t>S 8382</t>
  </si>
  <si>
    <t>S 8386</t>
  </si>
  <si>
    <t>S 8396</t>
  </si>
  <si>
    <t>S 8412</t>
  </si>
  <si>
    <t>S 8419</t>
  </si>
  <si>
    <t>S 8426</t>
  </si>
  <si>
    <t>S 8436</t>
  </si>
  <si>
    <t>S8442</t>
  </si>
  <si>
    <t>S8450</t>
  </si>
  <si>
    <t>S8456</t>
  </si>
  <si>
    <t>DM.%</t>
  </si>
  <si>
    <t>DM.kg.ha</t>
  </si>
  <si>
    <t>gC.100gDM</t>
  </si>
  <si>
    <t>gN.100gDM</t>
  </si>
  <si>
    <t>gP.100gDM</t>
  </si>
  <si>
    <t>gK.100gDM</t>
  </si>
  <si>
    <t>gCa.100gDM</t>
  </si>
  <si>
    <t>gMg.100gDM</t>
  </si>
  <si>
    <t>gNa.100gDM</t>
  </si>
  <si>
    <t>Year</t>
  </si>
  <si>
    <t>gN.100gFM</t>
  </si>
  <si>
    <t>N.kg.ha</t>
  </si>
  <si>
    <t>P.kg.ha</t>
  </si>
  <si>
    <t>K.kg.ha</t>
  </si>
  <si>
    <t>Date.applied</t>
  </si>
  <si>
    <t>FYM.tFM.ha</t>
  </si>
  <si>
    <t>(P)KMg</t>
  </si>
  <si>
    <t>(FYM) N4</t>
  </si>
  <si>
    <t>N4 PK</t>
  </si>
  <si>
    <t>N4 PK*(Mg*)</t>
  </si>
  <si>
    <t>N4 PMg</t>
  </si>
  <si>
    <t>FYM N4 PK</t>
  </si>
  <si>
    <t>N2 PKMg*</t>
  </si>
  <si>
    <t>2001-2022</t>
  </si>
  <si>
    <t>1968-2022</t>
  </si>
  <si>
    <t>N4</t>
  </si>
  <si>
    <t>N2</t>
  </si>
  <si>
    <t>First year</t>
  </si>
  <si>
    <t>Last year</t>
  </si>
  <si>
    <t>PKNaMg</t>
  </si>
  <si>
    <t>N2 PMg*</t>
  </si>
  <si>
    <t>N2 P</t>
  </si>
  <si>
    <t>N2 PK</t>
  </si>
  <si>
    <t>Trt</t>
  </si>
  <si>
    <t>None</t>
  </si>
  <si>
    <t>Control</t>
  </si>
  <si>
    <t>NP</t>
  </si>
  <si>
    <t>NPK</t>
  </si>
  <si>
    <t>FYM+NPK</t>
  </si>
  <si>
    <t>Plot</t>
  </si>
  <si>
    <t>N2 KNaMg</t>
  </si>
  <si>
    <t>N2 K(Na)Mg</t>
  </si>
  <si>
    <t>N2 KMg</t>
  </si>
  <si>
    <t>N4 KMg</t>
  </si>
  <si>
    <t>1968-1985</t>
  </si>
  <si>
    <t>1968-2001</t>
  </si>
  <si>
    <t>1985-2001</t>
  </si>
  <si>
    <t>1968-2000</t>
  </si>
  <si>
    <t>1852-2000</t>
  </si>
  <si>
    <t>1852-2022</t>
  </si>
  <si>
    <t>NKMg</t>
  </si>
  <si>
    <t>N2 PKNaMg</t>
  </si>
  <si>
    <t>N3 PK(Na)Mg</t>
  </si>
  <si>
    <t>N5 PKMg</t>
  </si>
  <si>
    <t>N5 (P)KMg</t>
  </si>
  <si>
    <t>N5PKMg</t>
  </si>
  <si>
    <t>N1 PKNaMg</t>
  </si>
  <si>
    <t>N1 PK(Na)Mg</t>
  </si>
  <si>
    <t>N1 PKMg</t>
  </si>
  <si>
    <t>N1 (P)KMg</t>
  </si>
  <si>
    <t>N4PMg</t>
  </si>
  <si>
    <t>N4PKMg</t>
  </si>
  <si>
    <t>N1PKMg</t>
  </si>
  <si>
    <t>N2PKMg</t>
  </si>
  <si>
    <t>N2 PK(Na)Mg</t>
  </si>
  <si>
    <t>N2 PKMg</t>
  </si>
  <si>
    <t>N2 (P)KMg</t>
  </si>
  <si>
    <t>1986-2000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</si>
</sst>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20" fontId="0" fillId="0" borderId="0" xfId="0" applyNumberFormat="1"/>
    <xf numFmtId="0" fontId="7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17" fontId="0" fillId="0" borderId="0" xfId="0" applyNumberFormat="1" applyAlignment="1">
      <alignment horizontal="right"/>
    </xf>
    <xf numFmtId="2" fontId="9" fillId="0" borderId="0" xfId="0" applyNumberFormat="1" applyFont="1"/>
    <xf numFmtId="165" fontId="9" fillId="0" borderId="0" xfId="0" applyNumberFormat="1" applyFont="1"/>
    <xf numFmtId="164" fontId="9" fillId="0" borderId="0" xfId="0" applyNumberFormat="1" applyFont="1"/>
    <xf numFmtId="165" fontId="8" fillId="0" borderId="0" xfId="0" applyNumberFormat="1" applyFont="1"/>
    <xf numFmtId="165" fontId="9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2" fontId="9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Font="1"/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D231E8-4ABC-4FFF-929E-895BF3E29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57150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303AC4-4A0E-47B2-B2C8-187C1220D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59055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123825</xdr:colOff>
      <xdr:row>38</xdr:row>
      <xdr:rowOff>123825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CBE5424-5A8E-4FEE-8ED7-808C63B6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87630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2337E13-ACEA-440F-9B53-99A8F22F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8572500"/>
          <a:ext cx="12382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A4FB-EBF9-45FA-8F4E-3B9705A9DC16}">
  <sheetPr codeName="Sheet1"/>
  <dimension ref="A1:K404"/>
  <sheetViews>
    <sheetView workbookViewId="0">
      <selection activeCell="A3" sqref="A3"/>
    </sheetView>
  </sheetViews>
  <sheetFormatPr defaultRowHeight="15" x14ac:dyDescent="0.25"/>
  <cols>
    <col min="1" max="1" width="15.28515625" bestFit="1" customWidth="1"/>
    <col min="2" max="2" width="16" bestFit="1" customWidth="1"/>
    <col min="3" max="3" width="35.7109375" bestFit="1" customWidth="1"/>
    <col min="4" max="5" width="20.85546875" bestFit="1" customWidth="1"/>
    <col min="6" max="6" width="24.28515625" bestFit="1" customWidth="1"/>
    <col min="7" max="7" width="4.85546875" bestFit="1" customWidth="1"/>
    <col min="8" max="8" width="8.42578125" bestFit="1" customWidth="1"/>
    <col min="9" max="9" width="10.28515625" bestFit="1" customWidth="1"/>
  </cols>
  <sheetData>
    <row r="1" spans="1:11" x14ac:dyDescent="0.25">
      <c r="A1" s="2"/>
      <c r="B1" s="2" t="s">
        <v>2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0</v>
      </c>
      <c r="H1" s="2"/>
      <c r="I1" t="s">
        <v>100</v>
      </c>
    </row>
    <row r="2" spans="1:11" x14ac:dyDescent="0.25">
      <c r="A2" s="3" t="s">
        <v>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1"/>
      <c r="H2" s="1"/>
      <c r="I2" t="s">
        <v>101</v>
      </c>
      <c r="J2" t="s">
        <v>102</v>
      </c>
      <c r="K2" t="s">
        <v>103</v>
      </c>
    </row>
    <row r="3" spans="1:11" x14ac:dyDescent="0.25">
      <c r="A3" s="4">
        <v>1</v>
      </c>
      <c r="B3" s="5" t="s">
        <v>19</v>
      </c>
      <c r="C3" s="4" t="s">
        <v>20</v>
      </c>
      <c r="D3" s="4" t="s">
        <v>21</v>
      </c>
      <c r="E3" s="4" t="s">
        <v>22</v>
      </c>
      <c r="F3" s="4" t="s">
        <v>22</v>
      </c>
      <c r="G3" s="4">
        <v>1</v>
      </c>
      <c r="H3" s="4"/>
      <c r="I3" t="s">
        <v>101</v>
      </c>
      <c r="J3" t="s">
        <v>104</v>
      </c>
      <c r="K3" t="s">
        <v>105</v>
      </c>
    </row>
    <row r="4" spans="1:11" x14ac:dyDescent="0.25">
      <c r="A4" s="4">
        <v>2.2000000000000002</v>
      </c>
      <c r="B4" s="4" t="s">
        <v>35</v>
      </c>
      <c r="C4" s="4" t="s">
        <v>35</v>
      </c>
      <c r="D4" s="4" t="s">
        <v>36</v>
      </c>
      <c r="E4" s="4" t="s">
        <v>37</v>
      </c>
      <c r="F4" s="4" t="s">
        <v>37</v>
      </c>
      <c r="G4" s="4">
        <v>22</v>
      </c>
      <c r="H4" s="4"/>
      <c r="I4" t="s">
        <v>101</v>
      </c>
      <c r="J4">
        <v>8</v>
      </c>
      <c r="K4" t="s">
        <v>106</v>
      </c>
    </row>
    <row r="5" spans="1:11" x14ac:dyDescent="0.25">
      <c r="A5" s="4">
        <v>3</v>
      </c>
      <c r="B5" s="4" t="s">
        <v>10</v>
      </c>
      <c r="C5" s="4" t="s">
        <v>10</v>
      </c>
      <c r="D5" s="4" t="s">
        <v>23</v>
      </c>
      <c r="E5" s="4" t="s">
        <v>24</v>
      </c>
      <c r="F5" s="4" t="s">
        <v>24</v>
      </c>
      <c r="G5" s="4">
        <v>3</v>
      </c>
      <c r="H5" s="4"/>
      <c r="I5" t="s">
        <v>101</v>
      </c>
      <c r="J5" s="11">
        <v>0</v>
      </c>
      <c r="K5" t="s">
        <v>107</v>
      </c>
    </row>
    <row r="6" spans="1:11" x14ac:dyDescent="0.25">
      <c r="A6" s="4">
        <v>5</v>
      </c>
      <c r="B6" s="4" t="s">
        <v>11</v>
      </c>
      <c r="C6" s="4" t="s">
        <v>12</v>
      </c>
      <c r="D6" s="4" t="s">
        <v>25</v>
      </c>
      <c r="E6" s="4" t="s">
        <v>26</v>
      </c>
      <c r="F6" s="4" t="s">
        <v>26</v>
      </c>
      <c r="G6" s="4">
        <v>5</v>
      </c>
      <c r="H6" s="4"/>
    </row>
    <row r="7" spans="1:11" ht="15.75" x14ac:dyDescent="0.25">
      <c r="A7" s="4">
        <v>10</v>
      </c>
      <c r="B7" s="4" t="s">
        <v>13</v>
      </c>
      <c r="C7" s="4" t="s">
        <v>14</v>
      </c>
      <c r="D7" s="4" t="s">
        <v>27</v>
      </c>
      <c r="E7" s="4" t="s">
        <v>28</v>
      </c>
      <c r="F7" s="4" t="s">
        <v>28</v>
      </c>
      <c r="G7" s="4">
        <v>10</v>
      </c>
      <c r="H7" s="4"/>
      <c r="I7" s="12" t="s">
        <v>108</v>
      </c>
    </row>
    <row r="8" spans="1:11" ht="15.75" x14ac:dyDescent="0.25">
      <c r="A8" s="4">
        <v>11</v>
      </c>
      <c r="B8" s="4" t="s">
        <v>15</v>
      </c>
      <c r="C8" s="4" t="s">
        <v>15</v>
      </c>
      <c r="D8" s="4" t="s">
        <v>29</v>
      </c>
      <c r="E8" s="4" t="s">
        <v>30</v>
      </c>
      <c r="F8" s="4" t="s">
        <v>30</v>
      </c>
      <c r="G8" s="4">
        <v>11</v>
      </c>
      <c r="H8" s="4"/>
      <c r="I8" s="12" t="s">
        <v>109</v>
      </c>
    </row>
    <row r="9" spans="1:11" ht="15.75" x14ac:dyDescent="0.25">
      <c r="A9" s="4">
        <v>13</v>
      </c>
      <c r="B9" s="4" t="s">
        <v>16</v>
      </c>
      <c r="C9" s="4" t="s">
        <v>16</v>
      </c>
      <c r="D9" s="4" t="s">
        <v>31</v>
      </c>
      <c r="E9" s="4" t="s">
        <v>32</v>
      </c>
      <c r="F9" s="4" t="s">
        <v>32</v>
      </c>
      <c r="G9" s="4">
        <v>13</v>
      </c>
      <c r="H9" s="4"/>
      <c r="I9" s="12" t="s">
        <v>110</v>
      </c>
    </row>
    <row r="10" spans="1:11" ht="15.75" x14ac:dyDescent="0.25">
      <c r="A10" s="4">
        <v>14</v>
      </c>
      <c r="B10" s="4" t="s">
        <v>17</v>
      </c>
      <c r="C10" s="4" t="s">
        <v>18</v>
      </c>
      <c r="D10" s="4" t="s">
        <v>33</v>
      </c>
      <c r="E10" s="4" t="s">
        <v>34</v>
      </c>
      <c r="F10" s="4" t="s">
        <v>34</v>
      </c>
      <c r="G10" s="4">
        <v>14</v>
      </c>
      <c r="H10" s="4"/>
      <c r="I10" s="12" t="s">
        <v>111</v>
      </c>
    </row>
    <row r="11" spans="1:11" x14ac:dyDescent="0.25">
      <c r="A11" s="4"/>
      <c r="B11" s="4"/>
      <c r="C11" s="4"/>
      <c r="D11" s="4"/>
      <c r="E11" s="4"/>
      <c r="F11" s="4"/>
      <c r="G11" s="4"/>
      <c r="H11" s="4"/>
    </row>
    <row r="12" spans="1:11" ht="15.75" x14ac:dyDescent="0.25">
      <c r="A12" s="2" t="s">
        <v>43</v>
      </c>
      <c r="B12" s="2" t="s">
        <v>54</v>
      </c>
      <c r="C12" s="2" t="s">
        <v>55</v>
      </c>
      <c r="D12" s="13" t="s">
        <v>38</v>
      </c>
      <c r="E12" s="4"/>
      <c r="F12" s="4"/>
      <c r="G12" s="4"/>
      <c r="H12" s="4"/>
      <c r="I12" s="12" t="s">
        <v>112</v>
      </c>
    </row>
    <row r="13" spans="1:11" ht="15.75" x14ac:dyDescent="0.25">
      <c r="A13" s="8" t="s">
        <v>48</v>
      </c>
      <c r="B13" s="8"/>
      <c r="C13" s="7" t="s">
        <v>49</v>
      </c>
      <c r="D13" s="4" t="s">
        <v>117</v>
      </c>
      <c r="E13" s="4"/>
      <c r="F13" s="4"/>
      <c r="G13" s="4"/>
      <c r="H13" s="4"/>
      <c r="I13" s="12" t="s">
        <v>113</v>
      </c>
    </row>
    <row r="14" spans="1:11" ht="15.75" x14ac:dyDescent="0.25">
      <c r="A14" s="8" t="s">
        <v>50</v>
      </c>
      <c r="B14" s="8"/>
      <c r="C14" s="8" t="s">
        <v>51</v>
      </c>
      <c r="D14" s="4" t="s">
        <v>117</v>
      </c>
      <c r="E14" s="4"/>
      <c r="F14" s="4"/>
      <c r="G14" s="4"/>
      <c r="H14" s="4"/>
      <c r="I14" s="12" t="s">
        <v>114</v>
      </c>
    </row>
    <row r="15" spans="1:11" ht="15.75" x14ac:dyDescent="0.25">
      <c r="A15" s="8" t="s">
        <v>52</v>
      </c>
      <c r="B15" s="8"/>
      <c r="C15" s="8" t="s">
        <v>53</v>
      </c>
      <c r="D15" s="4" t="s">
        <v>117</v>
      </c>
      <c r="E15" s="4"/>
      <c r="F15" s="4"/>
      <c r="G15" s="4"/>
      <c r="H15" s="4"/>
      <c r="I15" s="12" t="s">
        <v>115</v>
      </c>
    </row>
    <row r="16" spans="1:11" ht="15.75" x14ac:dyDescent="0.25">
      <c r="A16" s="7" t="s">
        <v>39</v>
      </c>
      <c r="B16" s="7" t="s">
        <v>40</v>
      </c>
      <c r="C16" s="8" t="s">
        <v>56</v>
      </c>
      <c r="D16" t="s">
        <v>99</v>
      </c>
      <c r="I16" s="12" t="s">
        <v>116</v>
      </c>
    </row>
    <row r="17" spans="1:10" x14ac:dyDescent="0.25">
      <c r="A17" s="8" t="s">
        <v>41</v>
      </c>
      <c r="B17" s="8" t="s">
        <v>40</v>
      </c>
      <c r="C17" s="8" t="s">
        <v>42</v>
      </c>
      <c r="D17" s="8" t="s">
        <v>99</v>
      </c>
    </row>
    <row r="18" spans="1:10" x14ac:dyDescent="0.25">
      <c r="A18" s="8" t="s">
        <v>44</v>
      </c>
      <c r="B18" s="8" t="s">
        <v>1</v>
      </c>
      <c r="C18" s="8" t="s">
        <v>45</v>
      </c>
      <c r="D18" s="8" t="s">
        <v>99</v>
      </c>
      <c r="E18" s="4"/>
      <c r="F18" s="4"/>
      <c r="G18" s="4"/>
      <c r="H18" s="4"/>
      <c r="I18" t="s">
        <v>85</v>
      </c>
      <c r="J18" t="s">
        <v>86</v>
      </c>
    </row>
    <row r="19" spans="1:10" x14ac:dyDescent="0.25">
      <c r="A19" s="7" t="s">
        <v>46</v>
      </c>
      <c r="B19" s="7" t="s">
        <v>1</v>
      </c>
      <c r="C19" s="7" t="s">
        <v>47</v>
      </c>
      <c r="D19" s="7" t="s">
        <v>99</v>
      </c>
      <c r="E19" s="4"/>
      <c r="F19" s="4"/>
      <c r="G19" s="4"/>
      <c r="H19" s="4"/>
    </row>
    <row r="20" spans="1:10" x14ac:dyDescent="0.25">
      <c r="A20" s="8" t="s">
        <v>57</v>
      </c>
      <c r="B20" s="8" t="s">
        <v>1</v>
      </c>
      <c r="C20" s="8" t="s">
        <v>58</v>
      </c>
      <c r="D20" s="8" t="s">
        <v>98</v>
      </c>
      <c r="E20" s="4"/>
      <c r="F20" s="4"/>
      <c r="G20" s="4"/>
      <c r="H20" s="4"/>
    </row>
    <row r="21" spans="1:10" x14ac:dyDescent="0.25">
      <c r="A21" s="8" t="s">
        <v>59</v>
      </c>
      <c r="B21" s="8" t="s">
        <v>40</v>
      </c>
      <c r="C21" s="8" t="s">
        <v>60</v>
      </c>
      <c r="D21" s="8" t="s">
        <v>98</v>
      </c>
      <c r="H21" s="4"/>
    </row>
    <row r="22" spans="1:10" x14ac:dyDescent="0.25">
      <c r="A22" t="s">
        <v>61</v>
      </c>
      <c r="B22" t="s">
        <v>1</v>
      </c>
      <c r="C22" t="s">
        <v>62</v>
      </c>
      <c r="D22" t="s">
        <v>98</v>
      </c>
    </row>
    <row r="23" spans="1:10" x14ac:dyDescent="0.25">
      <c r="A23" s="6" t="s">
        <v>63</v>
      </c>
      <c r="B23" s="6" t="s">
        <v>1</v>
      </c>
      <c r="C23" s="6" t="s">
        <v>64</v>
      </c>
      <c r="D23" s="6" t="s">
        <v>98</v>
      </c>
    </row>
    <row r="24" spans="1:10" x14ac:dyDescent="0.25">
      <c r="A24" s="6" t="s">
        <v>65</v>
      </c>
      <c r="B24" s="6" t="s">
        <v>1</v>
      </c>
      <c r="C24" s="6" t="s">
        <v>66</v>
      </c>
      <c r="D24" s="6" t="s">
        <v>98</v>
      </c>
      <c r="F24" s="4"/>
      <c r="H24" s="4"/>
    </row>
    <row r="25" spans="1:10" x14ac:dyDescent="0.25">
      <c r="A25" t="s">
        <v>67</v>
      </c>
      <c r="B25" t="s">
        <v>1</v>
      </c>
      <c r="C25" t="s">
        <v>68</v>
      </c>
      <c r="D25" t="s">
        <v>97</v>
      </c>
      <c r="F25" s="4"/>
      <c r="G25" s="4"/>
      <c r="H25" s="4"/>
    </row>
    <row r="26" spans="1:10" x14ac:dyDescent="0.25">
      <c r="A26" t="s">
        <v>69</v>
      </c>
      <c r="B26" t="s">
        <v>1</v>
      </c>
      <c r="C26" t="s">
        <v>70</v>
      </c>
      <c r="D26" t="s">
        <v>97</v>
      </c>
      <c r="F26" s="4"/>
      <c r="G26" s="4"/>
      <c r="H26" s="4"/>
    </row>
    <row r="27" spans="1:10" x14ac:dyDescent="0.25">
      <c r="A27" t="s">
        <v>71</v>
      </c>
      <c r="B27" t="s">
        <v>1</v>
      </c>
      <c r="C27" t="s">
        <v>72</v>
      </c>
      <c r="D27" t="s">
        <v>97</v>
      </c>
      <c r="F27" s="4"/>
      <c r="G27" s="4"/>
      <c r="H27" s="4"/>
    </row>
    <row r="28" spans="1:10" x14ac:dyDescent="0.25">
      <c r="A28" s="9" t="s">
        <v>73</v>
      </c>
      <c r="B28" s="9" t="s">
        <v>1</v>
      </c>
      <c r="C28" s="7" t="s">
        <v>74</v>
      </c>
      <c r="D28" t="s">
        <v>97</v>
      </c>
    </row>
    <row r="29" spans="1:10" x14ac:dyDescent="0.25">
      <c r="A29" s="9" t="s">
        <v>75</v>
      </c>
      <c r="B29" s="9" t="s">
        <v>1</v>
      </c>
      <c r="C29" s="7" t="s">
        <v>76</v>
      </c>
      <c r="D29" t="s">
        <v>97</v>
      </c>
    </row>
    <row r="30" spans="1:10" x14ac:dyDescent="0.25">
      <c r="A30" s="10" t="s">
        <v>77</v>
      </c>
      <c r="B30" s="10" t="s">
        <v>1</v>
      </c>
      <c r="C30" s="10" t="s">
        <v>78</v>
      </c>
      <c r="D30" s="10" t="s">
        <v>97</v>
      </c>
    </row>
    <row r="31" spans="1:10" x14ac:dyDescent="0.25">
      <c r="A31" s="10" t="s">
        <v>79</v>
      </c>
      <c r="B31" s="10" t="s">
        <v>1</v>
      </c>
      <c r="C31" s="10" t="s">
        <v>72</v>
      </c>
      <c r="D31" s="10" t="s">
        <v>97</v>
      </c>
    </row>
    <row r="32" spans="1:10" x14ac:dyDescent="0.25">
      <c r="A32" s="10" t="s">
        <v>80</v>
      </c>
      <c r="B32" s="10" t="s">
        <v>1</v>
      </c>
      <c r="C32" s="10" t="s">
        <v>74</v>
      </c>
      <c r="D32" s="10" t="s">
        <v>97</v>
      </c>
    </row>
    <row r="33" spans="1:9" x14ac:dyDescent="0.25">
      <c r="A33" s="10" t="s">
        <v>81</v>
      </c>
      <c r="B33" s="10" t="s">
        <v>1</v>
      </c>
      <c r="C33" s="10" t="s">
        <v>76</v>
      </c>
      <c r="D33" s="10" t="s">
        <v>97</v>
      </c>
    </row>
    <row r="34" spans="1:9" x14ac:dyDescent="0.25">
      <c r="A34" s="10" t="s">
        <v>82</v>
      </c>
      <c r="B34" s="10" t="s">
        <v>1</v>
      </c>
      <c r="C34" s="10" t="s">
        <v>78</v>
      </c>
      <c r="D34" s="10" t="s">
        <v>97</v>
      </c>
    </row>
    <row r="35" spans="1:9" x14ac:dyDescent="0.25">
      <c r="A35" s="10" t="s">
        <v>83</v>
      </c>
      <c r="B35" s="10" t="s">
        <v>1</v>
      </c>
      <c r="C35" s="10" t="s">
        <v>68</v>
      </c>
      <c r="D35" s="10" t="s">
        <v>97</v>
      </c>
    </row>
    <row r="36" spans="1:9" x14ac:dyDescent="0.25">
      <c r="A36" s="10" t="s">
        <v>84</v>
      </c>
      <c r="B36" s="10" t="s">
        <v>1</v>
      </c>
      <c r="C36" s="10" t="s">
        <v>70</v>
      </c>
      <c r="D36" s="10" t="s">
        <v>97</v>
      </c>
      <c r="E36" s="4"/>
      <c r="G36" s="4"/>
      <c r="H36" s="4"/>
      <c r="I36" s="1"/>
    </row>
    <row r="37" spans="1:9" x14ac:dyDescent="0.25">
      <c r="A37" s="10" t="s">
        <v>87</v>
      </c>
      <c r="B37" s="10" t="s">
        <v>1</v>
      </c>
      <c r="C37" t="s">
        <v>88</v>
      </c>
      <c r="D37" t="s">
        <v>85</v>
      </c>
      <c r="E37" s="4"/>
      <c r="G37" s="4"/>
      <c r="H37" s="4"/>
      <c r="I37" s="1"/>
    </row>
    <row r="38" spans="1:9" x14ac:dyDescent="0.25">
      <c r="A38" s="6" t="s">
        <v>91</v>
      </c>
      <c r="B38" s="6" t="s">
        <v>1</v>
      </c>
      <c r="C38" s="6" t="s">
        <v>92</v>
      </c>
      <c r="D38" s="6" t="s">
        <v>85</v>
      </c>
      <c r="E38" s="4"/>
      <c r="G38" s="4"/>
      <c r="H38" s="4"/>
      <c r="I38" s="1"/>
    </row>
    <row r="39" spans="1:9" x14ac:dyDescent="0.25">
      <c r="A39" s="6" t="s">
        <v>89</v>
      </c>
      <c r="B39" s="6" t="s">
        <v>1</v>
      </c>
      <c r="C39" s="6" t="s">
        <v>90</v>
      </c>
      <c r="D39" s="6" t="s">
        <v>85</v>
      </c>
      <c r="I39" s="1"/>
    </row>
    <row r="40" spans="1:9" x14ac:dyDescent="0.25">
      <c r="A40" t="s">
        <v>93</v>
      </c>
      <c r="B40" t="s">
        <v>40</v>
      </c>
      <c r="C40" t="s">
        <v>94</v>
      </c>
      <c r="D40" t="s">
        <v>85</v>
      </c>
      <c r="I40" s="1"/>
    </row>
    <row r="41" spans="1:9" x14ac:dyDescent="0.25">
      <c r="A41" t="s">
        <v>95</v>
      </c>
      <c r="B41" t="s">
        <v>1</v>
      </c>
      <c r="C41" t="s">
        <v>96</v>
      </c>
      <c r="D41" t="s">
        <v>85</v>
      </c>
      <c r="E41" s="4"/>
      <c r="G41" s="4"/>
      <c r="H41" s="4"/>
      <c r="I41" s="1"/>
    </row>
    <row r="42" spans="1:9" x14ac:dyDescent="0.25">
      <c r="I42" s="1"/>
    </row>
    <row r="43" spans="1:9" x14ac:dyDescent="0.25">
      <c r="I43" s="1"/>
    </row>
    <row r="52" spans="1:9" x14ac:dyDescent="0.25">
      <c r="I52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5"/>
      <c r="C70" s="4"/>
      <c r="D70" s="4"/>
      <c r="E70" s="4"/>
      <c r="F70" s="4"/>
      <c r="G70" s="4"/>
      <c r="H70" s="4"/>
      <c r="I70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D89" s="1"/>
      <c r="E89" s="1"/>
      <c r="F89" s="1"/>
      <c r="G89" s="1"/>
      <c r="H89" s="1"/>
      <c r="I89" s="1"/>
    </row>
    <row r="90" spans="1:9" x14ac:dyDescent="0.25">
      <c r="D90" s="1"/>
      <c r="E90" s="1"/>
      <c r="F90" s="1"/>
      <c r="G90" s="1"/>
      <c r="H90" s="1"/>
      <c r="I90" s="1"/>
    </row>
    <row r="91" spans="1:9" x14ac:dyDescent="0.25">
      <c r="D91" s="1"/>
      <c r="E91" s="1"/>
      <c r="F91" s="1"/>
      <c r="G91" s="1"/>
      <c r="H91" s="1"/>
      <c r="I91" s="1"/>
    </row>
    <row r="92" spans="1:9" x14ac:dyDescent="0.25">
      <c r="D92" s="1"/>
      <c r="E92" s="1"/>
      <c r="F92" s="1"/>
      <c r="G92" s="1"/>
      <c r="H92" s="1"/>
      <c r="I92" s="1"/>
    </row>
    <row r="93" spans="1:9" x14ac:dyDescent="0.25">
      <c r="D93" s="1"/>
      <c r="E93" s="1"/>
      <c r="F93" s="1"/>
      <c r="G93" s="1"/>
      <c r="H93" s="1"/>
      <c r="I93" s="1"/>
    </row>
    <row r="94" spans="1:9" x14ac:dyDescent="0.25">
      <c r="D94" s="1"/>
      <c r="E94" s="1"/>
      <c r="F94" s="1"/>
      <c r="G94" s="1"/>
      <c r="H94" s="1"/>
      <c r="I94" s="1"/>
    </row>
    <row r="95" spans="1:9" x14ac:dyDescent="0.25">
      <c r="D95" s="1"/>
      <c r="E95" s="1"/>
      <c r="F95" s="1"/>
      <c r="G95" s="1"/>
      <c r="H95" s="1"/>
      <c r="I95" s="1"/>
    </row>
    <row r="96" spans="1:9" x14ac:dyDescent="0.25">
      <c r="D96" s="1"/>
      <c r="E96" s="1"/>
      <c r="F96" s="1"/>
      <c r="G96" s="1"/>
      <c r="H96" s="1"/>
      <c r="I96" s="1"/>
    </row>
    <row r="97" spans="4:9" x14ac:dyDescent="0.25">
      <c r="D97" s="1"/>
      <c r="E97" s="1"/>
      <c r="F97" s="1"/>
      <c r="G97" s="1"/>
      <c r="H97" s="1"/>
      <c r="I97" s="1"/>
    </row>
    <row r="98" spans="4:9" x14ac:dyDescent="0.25">
      <c r="D98" s="1"/>
      <c r="E98" s="1"/>
      <c r="F98" s="1"/>
      <c r="G98" s="1"/>
      <c r="H98" s="1"/>
      <c r="I98" s="1"/>
    </row>
    <row r="99" spans="4:9" x14ac:dyDescent="0.25">
      <c r="D99" s="1"/>
      <c r="E99" s="1"/>
      <c r="F99" s="1"/>
      <c r="G99" s="1"/>
      <c r="H99" s="1"/>
      <c r="I99" s="1"/>
    </row>
    <row r="100" spans="4:9" x14ac:dyDescent="0.25">
      <c r="D100" s="1"/>
      <c r="E100" s="1"/>
      <c r="F100" s="1"/>
      <c r="G100" s="1"/>
      <c r="H100" s="1"/>
      <c r="I100" s="1"/>
    </row>
    <row r="101" spans="4:9" x14ac:dyDescent="0.25">
      <c r="D101" s="1"/>
      <c r="E101" s="1"/>
      <c r="F101" s="1"/>
      <c r="G101" s="1"/>
      <c r="H101" s="1"/>
      <c r="I101" s="1"/>
    </row>
    <row r="102" spans="4:9" x14ac:dyDescent="0.25">
      <c r="D102" s="1"/>
      <c r="E102" s="1"/>
      <c r="F102" s="1"/>
      <c r="G102" s="1"/>
      <c r="H102" s="1"/>
      <c r="I102" s="1"/>
    </row>
    <row r="103" spans="4:9" x14ac:dyDescent="0.25">
      <c r="D103" s="1"/>
      <c r="E103" s="1"/>
      <c r="F103" s="1"/>
      <c r="G103" s="1"/>
      <c r="H103" s="1"/>
      <c r="I103" s="1"/>
    </row>
    <row r="104" spans="4:9" x14ac:dyDescent="0.25">
      <c r="D104" s="1"/>
      <c r="E104" s="1"/>
      <c r="F104" s="1"/>
      <c r="G104" s="1"/>
      <c r="H104" s="1"/>
      <c r="I104" s="1"/>
    </row>
    <row r="105" spans="4:9" x14ac:dyDescent="0.25">
      <c r="D105" s="1"/>
      <c r="E105" s="1"/>
      <c r="F105" s="1"/>
      <c r="G105" s="1"/>
      <c r="H105" s="1"/>
      <c r="I105" s="1"/>
    </row>
    <row r="106" spans="4:9" x14ac:dyDescent="0.25">
      <c r="D106" s="1"/>
      <c r="E106" s="1"/>
      <c r="F106" s="1"/>
      <c r="G106" s="1"/>
      <c r="H106" s="1"/>
      <c r="I106" s="1"/>
    </row>
    <row r="107" spans="4:9" x14ac:dyDescent="0.25">
      <c r="D107" s="1"/>
      <c r="E107" s="1"/>
      <c r="F107" s="1"/>
      <c r="G107" s="1"/>
      <c r="H107" s="1"/>
      <c r="I107" s="1"/>
    </row>
    <row r="108" spans="4:9" x14ac:dyDescent="0.25">
      <c r="D108" s="1"/>
      <c r="E108" s="1"/>
      <c r="F108" s="1"/>
      <c r="G108" s="1"/>
      <c r="H108" s="1"/>
      <c r="I108" s="1"/>
    </row>
    <row r="109" spans="4:9" x14ac:dyDescent="0.25">
      <c r="D109" s="1"/>
      <c r="E109" s="1"/>
      <c r="F109" s="1"/>
      <c r="G109" s="1"/>
      <c r="H109" s="1"/>
      <c r="I109" s="1"/>
    </row>
    <row r="110" spans="4:9" x14ac:dyDescent="0.25">
      <c r="D110" s="1"/>
      <c r="E110" s="1"/>
      <c r="F110" s="1"/>
      <c r="G110" s="1"/>
      <c r="H110" s="1"/>
      <c r="I110" s="1"/>
    </row>
    <row r="111" spans="4:9" x14ac:dyDescent="0.25">
      <c r="D111" s="1"/>
      <c r="E111" s="1"/>
      <c r="F111" s="1"/>
      <c r="G111" s="1"/>
      <c r="H111" s="1"/>
      <c r="I111" s="1"/>
    </row>
    <row r="112" spans="4:9" x14ac:dyDescent="0.25">
      <c r="D112" s="1"/>
      <c r="E112" s="1"/>
      <c r="F112" s="1"/>
      <c r="G112" s="1"/>
      <c r="H112" s="1"/>
      <c r="I112" s="1"/>
    </row>
    <row r="113" spans="4:9" x14ac:dyDescent="0.25">
      <c r="D113" s="1"/>
      <c r="E113" s="1"/>
      <c r="F113" s="1"/>
      <c r="G113" s="1"/>
      <c r="H113" s="1"/>
      <c r="I113" s="1"/>
    </row>
    <row r="114" spans="4:9" x14ac:dyDescent="0.25">
      <c r="D114" s="1"/>
      <c r="E114" s="1"/>
      <c r="F114" s="1"/>
      <c r="G114" s="1"/>
      <c r="H114" s="1"/>
      <c r="I114" s="1"/>
    </row>
    <row r="115" spans="4:9" x14ac:dyDescent="0.25">
      <c r="D115" s="1"/>
      <c r="E115" s="1"/>
      <c r="F115" s="1"/>
      <c r="G115" s="1"/>
      <c r="H115" s="1"/>
      <c r="I115" s="1"/>
    </row>
    <row r="116" spans="4:9" x14ac:dyDescent="0.25">
      <c r="D116" s="1"/>
      <c r="E116" s="1"/>
      <c r="F116" s="1"/>
      <c r="G116" s="1"/>
      <c r="H116" s="1"/>
      <c r="I116" s="1"/>
    </row>
    <row r="117" spans="4:9" x14ac:dyDescent="0.25">
      <c r="D117" s="1"/>
      <c r="E117" s="1"/>
      <c r="F117" s="1"/>
      <c r="G117" s="1"/>
      <c r="H117" s="1"/>
      <c r="I117" s="1"/>
    </row>
    <row r="118" spans="4:9" x14ac:dyDescent="0.25">
      <c r="D118" s="1"/>
      <c r="E118" s="1"/>
      <c r="F118" s="1"/>
      <c r="G118" s="1"/>
      <c r="H118" s="1"/>
      <c r="I118" s="1"/>
    </row>
    <row r="119" spans="4:9" x14ac:dyDescent="0.25">
      <c r="D119" s="1"/>
      <c r="E119" s="1"/>
      <c r="F119" s="1"/>
      <c r="G119" s="1"/>
      <c r="H119" s="1"/>
      <c r="I119" s="1"/>
    </row>
    <row r="120" spans="4:9" x14ac:dyDescent="0.25">
      <c r="D120" s="1"/>
      <c r="E120" s="1"/>
      <c r="F120" s="1"/>
      <c r="G120" s="1"/>
      <c r="H120" s="1"/>
      <c r="I120" s="1"/>
    </row>
    <row r="121" spans="4:9" x14ac:dyDescent="0.25">
      <c r="D121" s="1"/>
      <c r="E121" s="1"/>
      <c r="F121" s="1"/>
      <c r="G121" s="1"/>
      <c r="H121" s="1"/>
      <c r="I121" s="1"/>
    </row>
    <row r="122" spans="4:9" x14ac:dyDescent="0.25">
      <c r="D122" s="1"/>
      <c r="E122" s="1"/>
      <c r="F122" s="1"/>
      <c r="G122" s="1"/>
      <c r="H122" s="1"/>
      <c r="I122" s="1"/>
    </row>
    <row r="123" spans="4:9" x14ac:dyDescent="0.25">
      <c r="D123" s="1"/>
      <c r="E123" s="1"/>
      <c r="F123" s="1"/>
      <c r="G123" s="1"/>
      <c r="H123" s="1"/>
      <c r="I123" s="1"/>
    </row>
    <row r="124" spans="4:9" x14ac:dyDescent="0.25">
      <c r="D124" s="1"/>
      <c r="E124" s="1"/>
      <c r="F124" s="1"/>
      <c r="G124" s="1"/>
      <c r="H124" s="1"/>
      <c r="I124" s="1"/>
    </row>
    <row r="125" spans="4:9" x14ac:dyDescent="0.25">
      <c r="D125" s="1"/>
      <c r="E125" s="1"/>
      <c r="F125" s="1"/>
      <c r="G125" s="1"/>
      <c r="H125" s="1"/>
      <c r="I125" s="1"/>
    </row>
    <row r="126" spans="4:9" x14ac:dyDescent="0.25">
      <c r="D126" s="1"/>
      <c r="E126" s="1"/>
      <c r="F126" s="1"/>
      <c r="G126" s="1"/>
      <c r="H126" s="1"/>
      <c r="I126" s="1"/>
    </row>
    <row r="127" spans="4:9" x14ac:dyDescent="0.25">
      <c r="D127" s="1"/>
      <c r="E127" s="1"/>
      <c r="F127" s="1"/>
      <c r="G127" s="1"/>
      <c r="H127" s="1"/>
      <c r="I127" s="1"/>
    </row>
    <row r="128" spans="4:9" x14ac:dyDescent="0.25">
      <c r="D128" s="1"/>
      <c r="E128" s="1"/>
      <c r="F128" s="1"/>
      <c r="G128" s="1"/>
      <c r="H128" s="1"/>
      <c r="I128" s="1"/>
    </row>
    <row r="129" spans="4:9" x14ac:dyDescent="0.25">
      <c r="D129" s="1"/>
      <c r="E129" s="1"/>
      <c r="F129" s="1"/>
      <c r="G129" s="1"/>
      <c r="H129" s="1"/>
      <c r="I129" s="1"/>
    </row>
    <row r="130" spans="4:9" x14ac:dyDescent="0.25">
      <c r="D130" s="1"/>
      <c r="E130" s="1"/>
      <c r="F130" s="1"/>
      <c r="G130" s="1"/>
      <c r="H130" s="1"/>
      <c r="I130" s="1"/>
    </row>
    <row r="131" spans="4:9" x14ac:dyDescent="0.25">
      <c r="D131" s="1"/>
      <c r="E131" s="1"/>
      <c r="F131" s="1"/>
      <c r="G131" s="1"/>
      <c r="H131" s="1"/>
      <c r="I131" s="1"/>
    </row>
    <row r="132" spans="4:9" x14ac:dyDescent="0.25">
      <c r="D132" s="1"/>
      <c r="E132" s="1"/>
      <c r="F132" s="1"/>
      <c r="G132" s="1"/>
      <c r="H132" s="1"/>
      <c r="I132" s="1"/>
    </row>
    <row r="133" spans="4:9" x14ac:dyDescent="0.25">
      <c r="D133" s="1"/>
      <c r="E133" s="1"/>
      <c r="F133" s="1"/>
      <c r="G133" s="1"/>
      <c r="H133" s="1"/>
      <c r="I133" s="1"/>
    </row>
    <row r="134" spans="4:9" x14ac:dyDescent="0.25">
      <c r="D134" s="1"/>
      <c r="E134" s="1"/>
      <c r="F134" s="1"/>
      <c r="G134" s="1"/>
      <c r="H134" s="1"/>
      <c r="I134" s="1"/>
    </row>
    <row r="135" spans="4:9" x14ac:dyDescent="0.25">
      <c r="D135" s="1"/>
      <c r="E135" s="1"/>
      <c r="F135" s="1"/>
      <c r="G135" s="1"/>
      <c r="H135" s="1"/>
      <c r="I135" s="1"/>
    </row>
    <row r="136" spans="4:9" x14ac:dyDescent="0.25">
      <c r="D136" s="1"/>
      <c r="E136" s="1"/>
      <c r="F136" s="1"/>
      <c r="G136" s="1"/>
      <c r="H136" s="1"/>
      <c r="I136" s="1"/>
    </row>
    <row r="137" spans="4:9" x14ac:dyDescent="0.25">
      <c r="D137" s="1"/>
      <c r="E137" s="1"/>
      <c r="F137" s="1"/>
      <c r="G137" s="1"/>
      <c r="H137" s="1"/>
      <c r="I137" s="1"/>
    </row>
    <row r="138" spans="4:9" x14ac:dyDescent="0.25">
      <c r="D138" s="1"/>
      <c r="E138" s="1"/>
      <c r="F138" s="1"/>
      <c r="G138" s="1"/>
      <c r="H138" s="1"/>
      <c r="I138" s="1"/>
    </row>
    <row r="139" spans="4:9" x14ac:dyDescent="0.25">
      <c r="D139" s="1"/>
      <c r="E139" s="1"/>
      <c r="F139" s="1"/>
      <c r="G139" s="1"/>
      <c r="H139" s="1"/>
      <c r="I139" s="1"/>
    </row>
    <row r="140" spans="4:9" x14ac:dyDescent="0.25">
      <c r="D140" s="1"/>
      <c r="E140" s="1"/>
      <c r="F140" s="1"/>
      <c r="G140" s="1"/>
      <c r="H140" s="1"/>
      <c r="I140" s="1"/>
    </row>
    <row r="141" spans="4:9" x14ac:dyDescent="0.25">
      <c r="D141" s="1"/>
      <c r="E141" s="1"/>
      <c r="F141" s="1"/>
      <c r="G141" s="1"/>
      <c r="H141" s="1"/>
      <c r="I141" s="1"/>
    </row>
    <row r="142" spans="4:9" x14ac:dyDescent="0.25">
      <c r="D142" s="1"/>
      <c r="E142" s="1"/>
      <c r="F142" s="1"/>
      <c r="G142" s="1"/>
      <c r="H142" s="1"/>
      <c r="I142" s="1"/>
    </row>
    <row r="143" spans="4:9" x14ac:dyDescent="0.25">
      <c r="D143" s="1"/>
      <c r="E143" s="1"/>
      <c r="F143" s="1"/>
      <c r="G143" s="1"/>
      <c r="H143" s="1"/>
      <c r="I143" s="1"/>
    </row>
    <row r="144" spans="4:9" x14ac:dyDescent="0.25">
      <c r="D144" s="1"/>
      <c r="E144" s="1"/>
      <c r="F144" s="1"/>
      <c r="G144" s="1"/>
      <c r="H144" s="1"/>
      <c r="I144" s="1"/>
    </row>
    <row r="145" spans="4:9" x14ac:dyDescent="0.25">
      <c r="D145" s="1"/>
      <c r="E145" s="1"/>
      <c r="F145" s="1"/>
      <c r="G145" s="1"/>
      <c r="H145" s="1"/>
      <c r="I145" s="1"/>
    </row>
    <row r="146" spans="4:9" x14ac:dyDescent="0.25">
      <c r="D146" s="1"/>
      <c r="E146" s="1"/>
      <c r="F146" s="1"/>
      <c r="G146" s="1"/>
      <c r="H146" s="1"/>
      <c r="I146" s="1"/>
    </row>
    <row r="147" spans="4:9" x14ac:dyDescent="0.25">
      <c r="D147" s="1"/>
      <c r="E147" s="1"/>
      <c r="F147" s="1"/>
      <c r="G147" s="1"/>
      <c r="H147" s="1"/>
      <c r="I147" s="1"/>
    </row>
    <row r="148" spans="4:9" x14ac:dyDescent="0.25">
      <c r="D148" s="1"/>
      <c r="E148" s="1"/>
      <c r="F148" s="1"/>
      <c r="G148" s="1"/>
      <c r="H148" s="1"/>
      <c r="I148" s="1"/>
    </row>
    <row r="149" spans="4:9" x14ac:dyDescent="0.25">
      <c r="D149" s="1"/>
      <c r="E149" s="1"/>
      <c r="F149" s="1"/>
      <c r="G149" s="1"/>
      <c r="H149" s="1"/>
      <c r="I149" s="1"/>
    </row>
    <row r="150" spans="4:9" x14ac:dyDescent="0.25">
      <c r="D150" s="1"/>
      <c r="E150" s="1"/>
      <c r="F150" s="1"/>
      <c r="G150" s="1"/>
      <c r="H150" s="1"/>
      <c r="I150" s="1"/>
    </row>
    <row r="151" spans="4:9" x14ac:dyDescent="0.25">
      <c r="D151" s="1"/>
      <c r="E151" s="1"/>
      <c r="F151" s="1"/>
      <c r="G151" s="1"/>
      <c r="H151" s="1"/>
      <c r="I151" s="1"/>
    </row>
    <row r="152" spans="4:9" x14ac:dyDescent="0.25">
      <c r="D152" s="1"/>
      <c r="E152" s="1"/>
      <c r="F152" s="1"/>
      <c r="G152" s="1"/>
      <c r="H152" s="1"/>
      <c r="I152" s="1"/>
    </row>
    <row r="153" spans="4:9" x14ac:dyDescent="0.25">
      <c r="D153" s="1"/>
      <c r="E153" s="1"/>
      <c r="F153" s="1"/>
      <c r="G153" s="1"/>
      <c r="H153" s="1"/>
      <c r="I153" s="1"/>
    </row>
    <row r="154" spans="4:9" x14ac:dyDescent="0.25">
      <c r="D154" s="1"/>
      <c r="E154" s="1"/>
      <c r="F154" s="1"/>
      <c r="G154" s="1"/>
      <c r="H154" s="1"/>
      <c r="I154" s="1"/>
    </row>
    <row r="155" spans="4:9" x14ac:dyDescent="0.25">
      <c r="D155" s="1"/>
      <c r="E155" s="1"/>
      <c r="F155" s="1"/>
      <c r="G155" s="1"/>
      <c r="H155" s="1"/>
      <c r="I155" s="1"/>
    </row>
    <row r="156" spans="4:9" x14ac:dyDescent="0.25">
      <c r="D156" s="1"/>
      <c r="E156" s="1"/>
      <c r="F156" s="1"/>
      <c r="G156" s="1"/>
      <c r="H156" s="1"/>
      <c r="I156" s="1"/>
    </row>
    <row r="157" spans="4:9" x14ac:dyDescent="0.25">
      <c r="D157" s="1"/>
      <c r="E157" s="1"/>
      <c r="F157" s="1"/>
      <c r="G157" s="1"/>
      <c r="H157" s="1"/>
      <c r="I157" s="1"/>
    </row>
    <row r="158" spans="4:9" x14ac:dyDescent="0.25">
      <c r="D158" s="1"/>
      <c r="E158" s="1"/>
      <c r="F158" s="1"/>
      <c r="G158" s="1"/>
      <c r="H158" s="1"/>
      <c r="I158" s="1"/>
    </row>
    <row r="159" spans="4:9" x14ac:dyDescent="0.25">
      <c r="D159" s="1"/>
      <c r="E159" s="1"/>
      <c r="F159" s="1"/>
      <c r="G159" s="1"/>
      <c r="H159" s="1"/>
      <c r="I159" s="1"/>
    </row>
    <row r="160" spans="4:9" x14ac:dyDescent="0.25">
      <c r="D160" s="1"/>
      <c r="E160" s="1"/>
      <c r="F160" s="1"/>
      <c r="G160" s="1"/>
      <c r="H160" s="1"/>
      <c r="I160" s="1"/>
    </row>
    <row r="161" spans="4:9" x14ac:dyDescent="0.25">
      <c r="D161" s="1"/>
      <c r="E161" s="1"/>
      <c r="F161" s="1"/>
      <c r="G161" s="1"/>
      <c r="H161" s="1"/>
      <c r="I161" s="1"/>
    </row>
    <row r="162" spans="4:9" x14ac:dyDescent="0.25">
      <c r="D162" s="1"/>
      <c r="E162" s="1"/>
      <c r="F162" s="1"/>
      <c r="G162" s="1"/>
      <c r="H162" s="1"/>
      <c r="I162" s="1"/>
    </row>
    <row r="163" spans="4:9" x14ac:dyDescent="0.25">
      <c r="D163" s="1"/>
      <c r="E163" s="1"/>
      <c r="F163" s="1"/>
      <c r="G163" s="1"/>
      <c r="H163" s="1"/>
      <c r="I163" s="1"/>
    </row>
    <row r="164" spans="4:9" x14ac:dyDescent="0.25">
      <c r="D164" s="1"/>
      <c r="E164" s="1"/>
      <c r="F164" s="1"/>
      <c r="G164" s="1"/>
      <c r="H164" s="1"/>
      <c r="I164" s="1"/>
    </row>
    <row r="165" spans="4:9" x14ac:dyDescent="0.25">
      <c r="D165" s="1"/>
      <c r="E165" s="1"/>
      <c r="F165" s="1"/>
      <c r="G165" s="1"/>
      <c r="H165" s="1"/>
      <c r="I165" s="1"/>
    </row>
    <row r="166" spans="4:9" x14ac:dyDescent="0.25">
      <c r="D166" s="1"/>
      <c r="E166" s="1"/>
      <c r="F166" s="1"/>
      <c r="G166" s="1"/>
      <c r="H166" s="1"/>
      <c r="I166" s="1"/>
    </row>
    <row r="167" spans="4:9" x14ac:dyDescent="0.25">
      <c r="D167" s="1"/>
      <c r="E167" s="1"/>
      <c r="F167" s="1"/>
      <c r="G167" s="1"/>
      <c r="H167" s="1"/>
      <c r="I167" s="1"/>
    </row>
    <row r="168" spans="4:9" x14ac:dyDescent="0.25">
      <c r="D168" s="1"/>
      <c r="E168" s="1"/>
      <c r="F168" s="1"/>
      <c r="G168" s="1"/>
      <c r="H168" s="1"/>
      <c r="I168" s="1"/>
    </row>
    <row r="169" spans="4:9" x14ac:dyDescent="0.25">
      <c r="D169" s="1"/>
      <c r="E169" s="1"/>
      <c r="F169" s="1"/>
      <c r="G169" s="1"/>
      <c r="H169" s="1"/>
      <c r="I169" s="1"/>
    </row>
    <row r="170" spans="4:9" x14ac:dyDescent="0.25">
      <c r="D170" s="1"/>
      <c r="E170" s="1"/>
      <c r="F170" s="1"/>
      <c r="G170" s="1"/>
      <c r="H170" s="1"/>
      <c r="I170" s="1"/>
    </row>
    <row r="171" spans="4:9" x14ac:dyDescent="0.25">
      <c r="D171" s="1"/>
      <c r="E171" s="1"/>
      <c r="F171" s="1"/>
      <c r="G171" s="1"/>
      <c r="H171" s="1"/>
      <c r="I171" s="1"/>
    </row>
    <row r="172" spans="4:9" x14ac:dyDescent="0.25">
      <c r="D172" s="1"/>
      <c r="E172" s="1"/>
      <c r="F172" s="1"/>
      <c r="G172" s="1"/>
      <c r="H172" s="1"/>
      <c r="I172" s="1"/>
    </row>
    <row r="173" spans="4:9" x14ac:dyDescent="0.25">
      <c r="D173" s="1"/>
      <c r="E173" s="1"/>
      <c r="F173" s="1"/>
      <c r="G173" s="1"/>
      <c r="H173" s="1"/>
      <c r="I173" s="1"/>
    </row>
    <row r="174" spans="4:9" x14ac:dyDescent="0.25">
      <c r="D174" s="1"/>
      <c r="E174" s="1"/>
      <c r="F174" s="1"/>
      <c r="G174" s="1"/>
      <c r="H174" s="1"/>
      <c r="I174" s="1"/>
    </row>
    <row r="175" spans="4:9" x14ac:dyDescent="0.25">
      <c r="D175" s="1"/>
      <c r="E175" s="1"/>
      <c r="F175" s="1"/>
      <c r="G175" s="1"/>
      <c r="H175" s="1"/>
      <c r="I175" s="1"/>
    </row>
    <row r="176" spans="4:9" x14ac:dyDescent="0.25">
      <c r="D176" s="1"/>
      <c r="E176" s="1"/>
      <c r="F176" s="1"/>
      <c r="G176" s="1"/>
      <c r="H176" s="1"/>
      <c r="I176" s="1"/>
    </row>
    <row r="177" spans="4:9" x14ac:dyDescent="0.25">
      <c r="D177" s="1"/>
      <c r="E177" s="1"/>
      <c r="F177" s="1"/>
      <c r="G177" s="1"/>
      <c r="H177" s="1"/>
      <c r="I177" s="1"/>
    </row>
    <row r="178" spans="4:9" x14ac:dyDescent="0.25">
      <c r="D178" s="1"/>
      <c r="E178" s="1"/>
      <c r="F178" s="1"/>
      <c r="G178" s="1"/>
      <c r="H178" s="1"/>
      <c r="I178" s="1"/>
    </row>
    <row r="179" spans="4:9" x14ac:dyDescent="0.25">
      <c r="D179" s="1"/>
      <c r="E179" s="1"/>
      <c r="F179" s="1"/>
      <c r="G179" s="1"/>
      <c r="H179" s="1"/>
      <c r="I179" s="1"/>
    </row>
    <row r="180" spans="4:9" x14ac:dyDescent="0.25">
      <c r="D180" s="1"/>
      <c r="E180" s="1"/>
      <c r="F180" s="1"/>
      <c r="G180" s="1"/>
      <c r="H180" s="1"/>
      <c r="I180" s="1"/>
    </row>
    <row r="181" spans="4:9" x14ac:dyDescent="0.25">
      <c r="D181" s="1"/>
      <c r="E181" s="1"/>
      <c r="F181" s="1"/>
      <c r="G181" s="1"/>
      <c r="H181" s="1"/>
      <c r="I181" s="1"/>
    </row>
    <row r="182" spans="4:9" x14ac:dyDescent="0.25">
      <c r="D182" s="1"/>
      <c r="E182" s="1"/>
      <c r="F182" s="1"/>
      <c r="G182" s="1"/>
      <c r="H182" s="1"/>
      <c r="I182" s="1"/>
    </row>
    <row r="183" spans="4:9" x14ac:dyDescent="0.25">
      <c r="D183" s="1"/>
      <c r="E183" s="1"/>
      <c r="F183" s="1"/>
      <c r="G183" s="1"/>
      <c r="H183" s="1"/>
      <c r="I183" s="1"/>
    </row>
    <row r="184" spans="4:9" x14ac:dyDescent="0.25">
      <c r="D184" s="1"/>
      <c r="E184" s="1"/>
      <c r="F184" s="1"/>
      <c r="G184" s="1"/>
      <c r="H184" s="1"/>
      <c r="I184" s="1"/>
    </row>
    <row r="185" spans="4:9" x14ac:dyDescent="0.25">
      <c r="D185" s="1"/>
      <c r="E185" s="1"/>
      <c r="F185" s="1"/>
      <c r="G185" s="1"/>
      <c r="H185" s="1"/>
      <c r="I185" s="1"/>
    </row>
    <row r="186" spans="4:9" x14ac:dyDescent="0.25">
      <c r="D186" s="1"/>
      <c r="E186" s="1"/>
      <c r="F186" s="1"/>
      <c r="G186" s="1"/>
      <c r="H186" s="1"/>
      <c r="I186" s="1"/>
    </row>
    <row r="187" spans="4:9" x14ac:dyDescent="0.25">
      <c r="D187" s="1"/>
      <c r="E187" s="1"/>
      <c r="F187" s="1"/>
      <c r="G187" s="1"/>
      <c r="H187" s="1"/>
      <c r="I187" s="1"/>
    </row>
    <row r="188" spans="4:9" x14ac:dyDescent="0.25">
      <c r="D188" s="1"/>
      <c r="E188" s="1"/>
      <c r="F188" s="1"/>
      <c r="G188" s="1"/>
      <c r="H188" s="1"/>
      <c r="I188" s="1"/>
    </row>
    <row r="189" spans="4:9" x14ac:dyDescent="0.25">
      <c r="D189" s="1"/>
      <c r="E189" s="1"/>
      <c r="F189" s="1"/>
      <c r="G189" s="1"/>
      <c r="H189" s="1"/>
      <c r="I189" s="1"/>
    </row>
    <row r="190" spans="4:9" x14ac:dyDescent="0.25">
      <c r="D190" s="1"/>
      <c r="E190" s="1"/>
      <c r="F190" s="1"/>
      <c r="G190" s="1"/>
      <c r="H190" s="1"/>
      <c r="I190" s="1"/>
    </row>
    <row r="191" spans="4:9" x14ac:dyDescent="0.25">
      <c r="D191" s="1"/>
      <c r="E191" s="1"/>
      <c r="F191" s="1"/>
      <c r="G191" s="1"/>
      <c r="H191" s="1"/>
      <c r="I191" s="1"/>
    </row>
    <row r="192" spans="4:9" x14ac:dyDescent="0.25">
      <c r="D192" s="1"/>
      <c r="E192" s="1"/>
      <c r="F192" s="1"/>
      <c r="G192" s="1"/>
      <c r="H192" s="1"/>
      <c r="I192" s="1"/>
    </row>
    <row r="193" spans="4:9" x14ac:dyDescent="0.25">
      <c r="D193" s="1"/>
      <c r="E193" s="1"/>
      <c r="F193" s="1"/>
      <c r="G193" s="1"/>
      <c r="H193" s="1"/>
      <c r="I193" s="1"/>
    </row>
    <row r="194" spans="4:9" x14ac:dyDescent="0.25">
      <c r="D194" s="1"/>
      <c r="E194" s="1"/>
      <c r="F194" s="1"/>
      <c r="G194" s="1"/>
      <c r="H194" s="1"/>
      <c r="I194" s="1"/>
    </row>
    <row r="195" spans="4:9" x14ac:dyDescent="0.25">
      <c r="D195" s="1"/>
      <c r="E195" s="1"/>
      <c r="F195" s="1"/>
      <c r="G195" s="1"/>
      <c r="H195" s="1"/>
      <c r="I195" s="1"/>
    </row>
    <row r="196" spans="4:9" x14ac:dyDescent="0.25">
      <c r="D196" s="1"/>
      <c r="E196" s="1"/>
      <c r="F196" s="1"/>
      <c r="G196" s="1"/>
      <c r="H196" s="1"/>
      <c r="I196" s="1"/>
    </row>
    <row r="197" spans="4:9" x14ac:dyDescent="0.25">
      <c r="D197" s="1"/>
      <c r="E197" s="1"/>
      <c r="F197" s="1"/>
      <c r="G197" s="1"/>
      <c r="H197" s="1"/>
      <c r="I197" s="1"/>
    </row>
    <row r="198" spans="4:9" x14ac:dyDescent="0.25">
      <c r="D198" s="1"/>
      <c r="E198" s="1"/>
      <c r="F198" s="1"/>
      <c r="G198" s="1"/>
      <c r="H198" s="1"/>
      <c r="I198" s="1"/>
    </row>
    <row r="199" spans="4:9" x14ac:dyDescent="0.25">
      <c r="D199" s="1"/>
      <c r="E199" s="1"/>
      <c r="F199" s="1"/>
      <c r="G199" s="1"/>
      <c r="H199" s="1"/>
      <c r="I199" s="1"/>
    </row>
    <row r="200" spans="4:9" x14ac:dyDescent="0.25">
      <c r="D200" s="1"/>
      <c r="E200" s="1"/>
      <c r="F200" s="1"/>
      <c r="G200" s="1"/>
      <c r="H200" s="1"/>
      <c r="I200" s="1"/>
    </row>
    <row r="201" spans="4:9" x14ac:dyDescent="0.25">
      <c r="D201" s="1"/>
      <c r="E201" s="1"/>
      <c r="F201" s="1"/>
      <c r="G201" s="1"/>
      <c r="H201" s="1"/>
      <c r="I201" s="1"/>
    </row>
    <row r="202" spans="4:9" x14ac:dyDescent="0.25">
      <c r="D202" s="1"/>
      <c r="E202" s="1"/>
      <c r="F202" s="1"/>
      <c r="G202" s="1"/>
      <c r="H202" s="1"/>
      <c r="I202" s="1"/>
    </row>
    <row r="203" spans="4:9" x14ac:dyDescent="0.25">
      <c r="D203" s="1"/>
      <c r="E203" s="1"/>
      <c r="F203" s="1"/>
      <c r="G203" s="1"/>
      <c r="H203" s="1"/>
      <c r="I203" s="1"/>
    </row>
    <row r="204" spans="4:9" x14ac:dyDescent="0.25">
      <c r="D204" s="1"/>
      <c r="E204" s="1"/>
      <c r="F204" s="1"/>
      <c r="G204" s="1"/>
      <c r="H204" s="1"/>
      <c r="I204" s="1"/>
    </row>
    <row r="205" spans="4:9" x14ac:dyDescent="0.25">
      <c r="D205" s="1"/>
      <c r="E205" s="1"/>
      <c r="F205" s="1"/>
      <c r="G205" s="1"/>
      <c r="H205" s="1"/>
      <c r="I205" s="1"/>
    </row>
    <row r="206" spans="4:9" x14ac:dyDescent="0.25">
      <c r="D206" s="1"/>
      <c r="E206" s="1"/>
      <c r="F206" s="1"/>
      <c r="G206" s="1"/>
      <c r="H206" s="1"/>
      <c r="I206" s="1"/>
    </row>
    <row r="207" spans="4:9" x14ac:dyDescent="0.25">
      <c r="D207" s="1"/>
      <c r="E207" s="1"/>
      <c r="F207" s="1"/>
      <c r="G207" s="1"/>
      <c r="H207" s="1"/>
      <c r="I207" s="1"/>
    </row>
    <row r="208" spans="4:9" x14ac:dyDescent="0.25">
      <c r="D208" s="1"/>
      <c r="E208" s="1"/>
      <c r="F208" s="1"/>
      <c r="G208" s="1"/>
      <c r="H208" s="1"/>
      <c r="I208" s="1"/>
    </row>
    <row r="209" spans="4:9" x14ac:dyDescent="0.25">
      <c r="D209" s="1"/>
      <c r="E209" s="1"/>
      <c r="F209" s="1"/>
      <c r="G209" s="1"/>
      <c r="H209" s="1"/>
      <c r="I209" s="1"/>
    </row>
    <row r="210" spans="4:9" x14ac:dyDescent="0.25">
      <c r="D210" s="1"/>
      <c r="E210" s="1"/>
      <c r="F210" s="1"/>
      <c r="G210" s="1"/>
      <c r="H210" s="1"/>
      <c r="I210" s="1"/>
    </row>
    <row r="211" spans="4:9" x14ac:dyDescent="0.25">
      <c r="D211" s="1"/>
      <c r="E211" s="1"/>
      <c r="F211" s="1"/>
      <c r="G211" s="1"/>
      <c r="H211" s="1"/>
      <c r="I211" s="1"/>
    </row>
    <row r="212" spans="4:9" x14ac:dyDescent="0.25">
      <c r="D212" s="1"/>
      <c r="E212" s="1"/>
      <c r="F212" s="1"/>
      <c r="G212" s="1"/>
      <c r="H212" s="1"/>
      <c r="I212" s="1"/>
    </row>
    <row r="213" spans="4:9" x14ac:dyDescent="0.25">
      <c r="D213" s="1"/>
      <c r="E213" s="1"/>
      <c r="F213" s="1"/>
      <c r="G213" s="1"/>
      <c r="H213" s="1"/>
      <c r="I213" s="1"/>
    </row>
    <row r="214" spans="4:9" x14ac:dyDescent="0.25">
      <c r="D214" s="1"/>
      <c r="E214" s="1"/>
      <c r="F214" s="1"/>
      <c r="G214" s="1"/>
      <c r="H214" s="1"/>
      <c r="I214" s="1"/>
    </row>
    <row r="215" spans="4:9" x14ac:dyDescent="0.25">
      <c r="D215" s="1"/>
      <c r="E215" s="1"/>
      <c r="F215" s="1"/>
      <c r="G215" s="1"/>
      <c r="H215" s="1"/>
      <c r="I215" s="1"/>
    </row>
    <row r="216" spans="4:9" x14ac:dyDescent="0.25">
      <c r="D216" s="1"/>
      <c r="E216" s="1"/>
      <c r="F216" s="1"/>
      <c r="G216" s="1"/>
      <c r="H216" s="1"/>
      <c r="I216" s="1"/>
    </row>
    <row r="217" spans="4:9" x14ac:dyDescent="0.25">
      <c r="D217" s="1"/>
      <c r="E217" s="1"/>
      <c r="F217" s="1"/>
      <c r="G217" s="1"/>
      <c r="H217" s="1"/>
      <c r="I217" s="1"/>
    </row>
    <row r="218" spans="4:9" x14ac:dyDescent="0.25">
      <c r="D218" s="1"/>
      <c r="E218" s="1"/>
      <c r="F218" s="1"/>
      <c r="G218" s="1"/>
      <c r="H218" s="1"/>
      <c r="I218" s="1"/>
    </row>
    <row r="219" spans="4:9" x14ac:dyDescent="0.25">
      <c r="D219" s="1"/>
      <c r="E219" s="1"/>
      <c r="F219" s="1"/>
      <c r="G219" s="1"/>
      <c r="H219" s="1"/>
      <c r="I219" s="1"/>
    </row>
    <row r="220" spans="4:9" x14ac:dyDescent="0.25">
      <c r="D220" s="1"/>
      <c r="E220" s="1"/>
      <c r="F220" s="1"/>
      <c r="G220" s="1"/>
      <c r="H220" s="1"/>
      <c r="I220" s="1"/>
    </row>
    <row r="221" spans="4:9" x14ac:dyDescent="0.25">
      <c r="D221" s="1"/>
      <c r="E221" s="1"/>
      <c r="F221" s="1"/>
      <c r="G221" s="1"/>
      <c r="H221" s="1"/>
      <c r="I221" s="1"/>
    </row>
    <row r="222" spans="4:9" x14ac:dyDescent="0.25">
      <c r="D222" s="1"/>
      <c r="E222" s="1"/>
      <c r="F222" s="1"/>
      <c r="G222" s="1"/>
      <c r="H222" s="1"/>
      <c r="I222" s="1"/>
    </row>
    <row r="223" spans="4:9" x14ac:dyDescent="0.25">
      <c r="D223" s="1"/>
      <c r="E223" s="1"/>
      <c r="F223" s="1"/>
      <c r="G223" s="1"/>
      <c r="H223" s="1"/>
      <c r="I223" s="1"/>
    </row>
    <row r="224" spans="4:9" x14ac:dyDescent="0.25">
      <c r="D224" s="1"/>
      <c r="E224" s="1"/>
      <c r="F224" s="1"/>
      <c r="G224" s="1"/>
      <c r="H224" s="1"/>
      <c r="I224" s="1"/>
    </row>
    <row r="225" spans="4:9" x14ac:dyDescent="0.25">
      <c r="D225" s="1"/>
      <c r="E225" s="1"/>
      <c r="F225" s="1"/>
      <c r="G225" s="1"/>
      <c r="H225" s="1"/>
      <c r="I225" s="1"/>
    </row>
    <row r="226" spans="4:9" x14ac:dyDescent="0.25">
      <c r="D226" s="1"/>
      <c r="E226" s="1"/>
      <c r="F226" s="1"/>
      <c r="G226" s="1"/>
      <c r="H226" s="1"/>
      <c r="I226" s="1"/>
    </row>
    <row r="227" spans="4:9" x14ac:dyDescent="0.25">
      <c r="D227" s="1"/>
      <c r="E227" s="1"/>
      <c r="F227" s="1"/>
      <c r="G227" s="1"/>
      <c r="H227" s="1"/>
      <c r="I227" s="1"/>
    </row>
    <row r="228" spans="4:9" x14ac:dyDescent="0.25">
      <c r="D228" s="1"/>
      <c r="E228" s="1"/>
      <c r="F228" s="1"/>
      <c r="G228" s="1"/>
      <c r="H228" s="1"/>
      <c r="I228" s="1"/>
    </row>
    <row r="229" spans="4:9" x14ac:dyDescent="0.25">
      <c r="D229" s="1"/>
      <c r="E229" s="1"/>
      <c r="F229" s="1"/>
      <c r="G229" s="1"/>
      <c r="H229" s="1"/>
      <c r="I229" s="1"/>
    </row>
    <row r="230" spans="4:9" x14ac:dyDescent="0.25">
      <c r="D230" s="1"/>
      <c r="E230" s="1"/>
      <c r="F230" s="1"/>
      <c r="G230" s="1"/>
      <c r="H230" s="1"/>
      <c r="I230" s="1"/>
    </row>
    <row r="231" spans="4:9" x14ac:dyDescent="0.25">
      <c r="D231" s="1"/>
      <c r="E231" s="1"/>
      <c r="F231" s="1"/>
      <c r="G231" s="1"/>
      <c r="H231" s="1"/>
      <c r="I231" s="1"/>
    </row>
    <row r="232" spans="4:9" x14ac:dyDescent="0.25">
      <c r="D232" s="1"/>
      <c r="E232" s="1"/>
      <c r="F232" s="1"/>
      <c r="G232" s="1"/>
      <c r="H232" s="1"/>
      <c r="I232" s="1"/>
    </row>
    <row r="233" spans="4:9" x14ac:dyDescent="0.25">
      <c r="D233" s="1"/>
      <c r="E233" s="1"/>
      <c r="F233" s="1"/>
      <c r="G233" s="1"/>
      <c r="H233" s="1"/>
      <c r="I233" s="1"/>
    </row>
    <row r="234" spans="4:9" x14ac:dyDescent="0.25">
      <c r="D234" s="1"/>
      <c r="E234" s="1"/>
      <c r="F234" s="1"/>
      <c r="G234" s="1"/>
      <c r="H234" s="1"/>
      <c r="I234" s="1"/>
    </row>
    <row r="235" spans="4:9" x14ac:dyDescent="0.25">
      <c r="D235" s="1"/>
      <c r="E235" s="1"/>
      <c r="F235" s="1"/>
      <c r="G235" s="1"/>
      <c r="H235" s="1"/>
      <c r="I235" s="1"/>
    </row>
    <row r="236" spans="4:9" x14ac:dyDescent="0.25">
      <c r="D236" s="1"/>
      <c r="E236" s="1"/>
      <c r="F236" s="1"/>
      <c r="G236" s="1"/>
      <c r="H236" s="1"/>
      <c r="I236" s="1"/>
    </row>
    <row r="237" spans="4:9" x14ac:dyDescent="0.25">
      <c r="D237" s="1"/>
      <c r="E237" s="1"/>
      <c r="F237" s="1"/>
      <c r="G237" s="1"/>
      <c r="H237" s="1"/>
      <c r="I237" s="1"/>
    </row>
    <row r="238" spans="4:9" x14ac:dyDescent="0.25">
      <c r="D238" s="1"/>
      <c r="E238" s="1"/>
      <c r="F238" s="1"/>
      <c r="G238" s="1"/>
      <c r="H238" s="1"/>
      <c r="I238" s="1"/>
    </row>
    <row r="239" spans="4:9" x14ac:dyDescent="0.25">
      <c r="D239" s="1"/>
      <c r="E239" s="1"/>
      <c r="F239" s="1"/>
      <c r="G239" s="1"/>
      <c r="H239" s="1"/>
      <c r="I239" s="1"/>
    </row>
    <row r="240" spans="4:9" x14ac:dyDescent="0.25">
      <c r="D240" s="1"/>
      <c r="E240" s="1"/>
      <c r="F240" s="1"/>
      <c r="G240" s="1"/>
      <c r="H240" s="1"/>
      <c r="I240" s="1"/>
    </row>
    <row r="241" spans="4:9" x14ac:dyDescent="0.25">
      <c r="D241" s="1"/>
      <c r="E241" s="1"/>
      <c r="F241" s="1"/>
      <c r="G241" s="1"/>
      <c r="H241" s="1"/>
      <c r="I241" s="1"/>
    </row>
    <row r="242" spans="4:9" x14ac:dyDescent="0.25">
      <c r="D242" s="1"/>
      <c r="E242" s="1"/>
      <c r="F242" s="1"/>
      <c r="G242" s="1"/>
      <c r="H242" s="1"/>
      <c r="I242" s="1"/>
    </row>
    <row r="243" spans="4:9" x14ac:dyDescent="0.25">
      <c r="D243" s="1"/>
      <c r="E243" s="1"/>
      <c r="F243" s="1"/>
      <c r="G243" s="1"/>
      <c r="H243" s="1"/>
      <c r="I243" s="1"/>
    </row>
    <row r="244" spans="4:9" x14ac:dyDescent="0.25">
      <c r="D244" s="1"/>
      <c r="E244" s="1"/>
      <c r="F244" s="1"/>
      <c r="G244" s="1"/>
      <c r="H244" s="1"/>
      <c r="I244" s="1"/>
    </row>
    <row r="245" spans="4:9" x14ac:dyDescent="0.25">
      <c r="D245" s="1"/>
      <c r="E245" s="1"/>
      <c r="F245" s="1"/>
      <c r="G245" s="1"/>
      <c r="H245" s="1"/>
      <c r="I245" s="1"/>
    </row>
    <row r="246" spans="4:9" x14ac:dyDescent="0.25">
      <c r="D246" s="1"/>
      <c r="E246" s="1"/>
      <c r="F246" s="1"/>
      <c r="G246" s="1"/>
      <c r="H246" s="1"/>
      <c r="I246" s="1"/>
    </row>
    <row r="247" spans="4:9" x14ac:dyDescent="0.25">
      <c r="D247" s="1"/>
      <c r="E247" s="1"/>
      <c r="F247" s="1"/>
      <c r="G247" s="1"/>
      <c r="H247" s="1"/>
      <c r="I247" s="1"/>
    </row>
    <row r="248" spans="4:9" x14ac:dyDescent="0.25">
      <c r="D248" s="1"/>
      <c r="E248" s="1"/>
      <c r="F248" s="1"/>
      <c r="G248" s="1"/>
      <c r="H248" s="1"/>
      <c r="I248" s="1"/>
    </row>
    <row r="249" spans="4:9" x14ac:dyDescent="0.25">
      <c r="D249" s="1"/>
      <c r="E249" s="1"/>
      <c r="F249" s="1"/>
      <c r="G249" s="1"/>
      <c r="H249" s="1"/>
      <c r="I249" s="1"/>
    </row>
    <row r="250" spans="4:9" x14ac:dyDescent="0.25">
      <c r="D250" s="1"/>
      <c r="E250" s="1"/>
      <c r="F250" s="1"/>
      <c r="G250" s="1"/>
      <c r="H250" s="1"/>
      <c r="I250" s="1"/>
    </row>
    <row r="251" spans="4:9" x14ac:dyDescent="0.25">
      <c r="D251" s="1"/>
      <c r="E251" s="1"/>
      <c r="F251" s="1"/>
      <c r="G251" s="1"/>
      <c r="H251" s="1"/>
      <c r="I251" s="1"/>
    </row>
    <row r="252" spans="4:9" x14ac:dyDescent="0.25">
      <c r="D252" s="1"/>
      <c r="E252" s="1"/>
      <c r="F252" s="1"/>
      <c r="G252" s="1"/>
      <c r="H252" s="1"/>
      <c r="I252" s="1"/>
    </row>
    <row r="253" spans="4:9" x14ac:dyDescent="0.25">
      <c r="D253" s="1"/>
      <c r="E253" s="1"/>
      <c r="F253" s="1"/>
      <c r="G253" s="1"/>
      <c r="H253" s="1"/>
      <c r="I253" s="1"/>
    </row>
    <row r="254" spans="4:9" x14ac:dyDescent="0.25">
      <c r="D254" s="1"/>
      <c r="E254" s="1"/>
      <c r="F254" s="1"/>
      <c r="G254" s="1"/>
      <c r="H254" s="1"/>
      <c r="I254" s="1"/>
    </row>
    <row r="255" spans="4:9" x14ac:dyDescent="0.25">
      <c r="D255" s="1"/>
      <c r="E255" s="1"/>
      <c r="F255" s="1"/>
      <c r="G255" s="1"/>
      <c r="H255" s="1"/>
      <c r="I255" s="1"/>
    </row>
    <row r="256" spans="4:9" x14ac:dyDescent="0.25">
      <c r="D256" s="1"/>
      <c r="E256" s="1"/>
      <c r="F256" s="1"/>
      <c r="G256" s="1"/>
      <c r="H256" s="1"/>
      <c r="I256" s="1"/>
    </row>
    <row r="257" spans="4:9" x14ac:dyDescent="0.25">
      <c r="D257" s="1"/>
      <c r="E257" s="1"/>
      <c r="F257" s="1"/>
      <c r="G257" s="1"/>
      <c r="H257" s="1"/>
      <c r="I257" s="1"/>
    </row>
    <row r="258" spans="4:9" x14ac:dyDescent="0.25">
      <c r="D258" s="1"/>
      <c r="E258" s="1"/>
      <c r="F258" s="1"/>
      <c r="G258" s="1"/>
      <c r="H258" s="1"/>
      <c r="I258" s="1"/>
    </row>
    <row r="259" spans="4:9" x14ac:dyDescent="0.25">
      <c r="D259" s="1"/>
      <c r="E259" s="1"/>
      <c r="F259" s="1"/>
      <c r="G259" s="1"/>
      <c r="H259" s="1"/>
      <c r="I259" s="1"/>
    </row>
    <row r="260" spans="4:9" x14ac:dyDescent="0.25">
      <c r="D260" s="1"/>
      <c r="E260" s="1"/>
      <c r="F260" s="1"/>
      <c r="G260" s="1"/>
      <c r="H260" s="1"/>
      <c r="I260" s="1"/>
    </row>
    <row r="261" spans="4:9" x14ac:dyDescent="0.25">
      <c r="D261" s="1"/>
      <c r="E261" s="1"/>
      <c r="F261" s="1"/>
      <c r="G261" s="1"/>
      <c r="H261" s="1"/>
      <c r="I261" s="1"/>
    </row>
    <row r="262" spans="4:9" x14ac:dyDescent="0.25">
      <c r="D262" s="1"/>
      <c r="E262" s="1"/>
      <c r="F262" s="1"/>
      <c r="G262" s="1"/>
      <c r="H262" s="1"/>
      <c r="I262" s="1"/>
    </row>
    <row r="263" spans="4:9" x14ac:dyDescent="0.25">
      <c r="D263" s="1"/>
      <c r="E263" s="1"/>
      <c r="F263" s="1"/>
      <c r="G263" s="1"/>
      <c r="H263" s="1"/>
      <c r="I263" s="1"/>
    </row>
    <row r="264" spans="4:9" x14ac:dyDescent="0.25">
      <c r="D264" s="1"/>
      <c r="E264" s="1"/>
      <c r="F264" s="1"/>
      <c r="G264" s="1"/>
      <c r="H264" s="1"/>
      <c r="I264" s="1"/>
    </row>
    <row r="265" spans="4:9" x14ac:dyDescent="0.25">
      <c r="D265" s="1"/>
      <c r="E265" s="1"/>
      <c r="F265" s="1"/>
      <c r="G265" s="1"/>
      <c r="H265" s="1"/>
      <c r="I265" s="1"/>
    </row>
    <row r="266" spans="4:9" x14ac:dyDescent="0.25">
      <c r="D266" s="1"/>
      <c r="E266" s="1"/>
      <c r="F266" s="1"/>
      <c r="G266" s="1"/>
      <c r="H266" s="1"/>
      <c r="I266" s="1"/>
    </row>
    <row r="267" spans="4:9" x14ac:dyDescent="0.25">
      <c r="D267" s="1"/>
      <c r="E267" s="1"/>
      <c r="F267" s="1"/>
      <c r="G267" s="1"/>
      <c r="H267" s="1"/>
      <c r="I267" s="1"/>
    </row>
    <row r="268" spans="4:9" x14ac:dyDescent="0.25">
      <c r="D268" s="1"/>
      <c r="E268" s="1"/>
      <c r="F268" s="1"/>
      <c r="G268" s="1"/>
      <c r="H268" s="1"/>
      <c r="I268" s="1"/>
    </row>
    <row r="269" spans="4:9" x14ac:dyDescent="0.25">
      <c r="D269" s="1"/>
      <c r="E269" s="1"/>
      <c r="F269" s="1"/>
      <c r="G269" s="1"/>
      <c r="H269" s="1"/>
      <c r="I269" s="1"/>
    </row>
    <row r="270" spans="4:9" x14ac:dyDescent="0.25">
      <c r="D270" s="1"/>
      <c r="E270" s="1"/>
      <c r="F270" s="1"/>
      <c r="G270" s="1"/>
      <c r="H270" s="1"/>
      <c r="I270" s="1"/>
    </row>
    <row r="271" spans="4:9" x14ac:dyDescent="0.25">
      <c r="D271" s="1"/>
      <c r="E271" s="1"/>
      <c r="F271" s="1"/>
      <c r="G271" s="1"/>
      <c r="H271" s="1"/>
      <c r="I271" s="1"/>
    </row>
    <row r="272" spans="4:9" x14ac:dyDescent="0.25">
      <c r="D272" s="1"/>
      <c r="E272" s="1"/>
      <c r="F272" s="1"/>
      <c r="G272" s="1"/>
      <c r="H272" s="1"/>
      <c r="I272" s="1"/>
    </row>
    <row r="273" spans="4:9" x14ac:dyDescent="0.25">
      <c r="D273" s="1"/>
      <c r="E273" s="1"/>
      <c r="F273" s="1"/>
      <c r="G273" s="1"/>
      <c r="H273" s="1"/>
      <c r="I273" s="1"/>
    </row>
    <row r="274" spans="4:9" x14ac:dyDescent="0.25">
      <c r="D274" s="1"/>
      <c r="E274" s="1"/>
      <c r="F274" s="1"/>
      <c r="G274" s="1"/>
      <c r="H274" s="1"/>
      <c r="I274" s="1"/>
    </row>
    <row r="275" spans="4:9" x14ac:dyDescent="0.25">
      <c r="D275" s="1"/>
      <c r="E275" s="1"/>
      <c r="F275" s="1"/>
      <c r="G275" s="1"/>
      <c r="H275" s="1"/>
      <c r="I275" s="1"/>
    </row>
    <row r="276" spans="4:9" x14ac:dyDescent="0.25">
      <c r="D276" s="1"/>
      <c r="E276" s="1"/>
      <c r="F276" s="1"/>
      <c r="G276" s="1"/>
      <c r="H276" s="1"/>
      <c r="I276" s="1"/>
    </row>
    <row r="277" spans="4:9" x14ac:dyDescent="0.25">
      <c r="D277" s="1"/>
      <c r="E277" s="1"/>
      <c r="F277" s="1"/>
      <c r="G277" s="1"/>
      <c r="H277" s="1"/>
      <c r="I277" s="1"/>
    </row>
    <row r="278" spans="4:9" x14ac:dyDescent="0.25">
      <c r="D278" s="1"/>
      <c r="E278" s="1"/>
      <c r="F278" s="1"/>
      <c r="G278" s="1"/>
      <c r="H278" s="1"/>
      <c r="I278" s="1"/>
    </row>
    <row r="279" spans="4:9" x14ac:dyDescent="0.25">
      <c r="D279" s="1"/>
      <c r="E279" s="1"/>
      <c r="F279" s="1"/>
      <c r="G279" s="1"/>
      <c r="H279" s="1"/>
      <c r="I279" s="1"/>
    </row>
    <row r="280" spans="4:9" x14ac:dyDescent="0.25">
      <c r="D280" s="1"/>
      <c r="E280" s="1"/>
      <c r="F280" s="1"/>
      <c r="G280" s="1"/>
      <c r="H280" s="1"/>
      <c r="I280" s="1"/>
    </row>
    <row r="281" spans="4:9" x14ac:dyDescent="0.25">
      <c r="D281" s="1"/>
      <c r="E281" s="1"/>
      <c r="F281" s="1"/>
      <c r="G281" s="1"/>
      <c r="H281" s="1"/>
      <c r="I281" s="1"/>
    </row>
    <row r="282" spans="4:9" x14ac:dyDescent="0.25">
      <c r="D282" s="1"/>
      <c r="E282" s="1"/>
      <c r="F282" s="1"/>
      <c r="G282" s="1"/>
      <c r="H282" s="1"/>
      <c r="I282" s="1"/>
    </row>
    <row r="283" spans="4:9" x14ac:dyDescent="0.25">
      <c r="D283" s="1"/>
      <c r="E283" s="1"/>
      <c r="F283" s="1"/>
      <c r="G283" s="1"/>
      <c r="H283" s="1"/>
      <c r="I283" s="1"/>
    </row>
    <row r="284" spans="4:9" x14ac:dyDescent="0.25">
      <c r="D284" s="1"/>
      <c r="E284" s="1"/>
      <c r="F284" s="1"/>
      <c r="G284" s="1"/>
      <c r="H284" s="1"/>
      <c r="I284" s="1"/>
    </row>
    <row r="285" spans="4:9" x14ac:dyDescent="0.25">
      <c r="D285" s="1"/>
      <c r="E285" s="1"/>
      <c r="F285" s="1"/>
      <c r="G285" s="1"/>
      <c r="H285" s="1"/>
      <c r="I285" s="1"/>
    </row>
    <row r="286" spans="4:9" x14ac:dyDescent="0.25">
      <c r="D286" s="1"/>
      <c r="E286" s="1"/>
      <c r="F286" s="1"/>
      <c r="G286" s="1"/>
      <c r="H286" s="1"/>
      <c r="I286" s="1"/>
    </row>
    <row r="287" spans="4:9" x14ac:dyDescent="0.25">
      <c r="D287" s="1"/>
      <c r="E287" s="1"/>
      <c r="F287" s="1"/>
      <c r="G287" s="1"/>
      <c r="H287" s="1"/>
      <c r="I287" s="1"/>
    </row>
    <row r="288" spans="4:9" x14ac:dyDescent="0.25">
      <c r="D288" s="1"/>
      <c r="E288" s="1"/>
      <c r="F288" s="1"/>
      <c r="G288" s="1"/>
      <c r="H288" s="1"/>
      <c r="I288" s="1"/>
    </row>
    <row r="289" spans="4:9" x14ac:dyDescent="0.25">
      <c r="D289" s="1"/>
      <c r="E289" s="1"/>
      <c r="F289" s="1"/>
      <c r="G289" s="1"/>
      <c r="H289" s="1"/>
      <c r="I289" s="1"/>
    </row>
    <row r="290" spans="4:9" x14ac:dyDescent="0.25">
      <c r="D290" s="1"/>
      <c r="E290" s="1"/>
      <c r="F290" s="1"/>
      <c r="G290" s="1"/>
      <c r="H290" s="1"/>
      <c r="I290" s="1"/>
    </row>
    <row r="291" spans="4:9" x14ac:dyDescent="0.25">
      <c r="D291" s="1"/>
      <c r="E291" s="1"/>
      <c r="F291" s="1"/>
      <c r="G291" s="1"/>
      <c r="H291" s="1"/>
      <c r="I291" s="1"/>
    </row>
    <row r="292" spans="4:9" x14ac:dyDescent="0.25">
      <c r="D292" s="1"/>
      <c r="E292" s="1"/>
      <c r="F292" s="1"/>
      <c r="G292" s="1"/>
      <c r="H292" s="1"/>
      <c r="I292" s="1"/>
    </row>
    <row r="293" spans="4:9" x14ac:dyDescent="0.25">
      <c r="D293" s="1"/>
      <c r="E293" s="1"/>
      <c r="F293" s="1"/>
      <c r="G293" s="1"/>
      <c r="H293" s="1"/>
      <c r="I293" s="1"/>
    </row>
    <row r="294" spans="4:9" x14ac:dyDescent="0.25">
      <c r="D294" s="1"/>
      <c r="E294" s="1"/>
      <c r="F294" s="1"/>
      <c r="G294" s="1"/>
      <c r="H294" s="1"/>
      <c r="I294" s="1"/>
    </row>
    <row r="295" spans="4:9" x14ac:dyDescent="0.25">
      <c r="D295" s="1"/>
      <c r="E295" s="1"/>
      <c r="F295" s="1"/>
      <c r="G295" s="1"/>
      <c r="H295" s="1"/>
      <c r="I295" s="1"/>
    </row>
    <row r="296" spans="4:9" x14ac:dyDescent="0.25">
      <c r="D296" s="1"/>
      <c r="E296" s="1"/>
      <c r="F296" s="1"/>
      <c r="G296" s="1"/>
      <c r="H296" s="1"/>
      <c r="I296" s="1"/>
    </row>
    <row r="297" spans="4:9" x14ac:dyDescent="0.25">
      <c r="D297" s="1"/>
      <c r="E297" s="1"/>
      <c r="F297" s="1"/>
      <c r="G297" s="1"/>
      <c r="H297" s="1"/>
      <c r="I297" s="1"/>
    </row>
    <row r="298" spans="4:9" x14ac:dyDescent="0.25">
      <c r="D298" s="1"/>
      <c r="E298" s="1"/>
      <c r="F298" s="1"/>
      <c r="G298" s="1"/>
      <c r="H298" s="1"/>
      <c r="I298" s="1"/>
    </row>
    <row r="299" spans="4:9" x14ac:dyDescent="0.25">
      <c r="D299" s="1"/>
      <c r="E299" s="1"/>
      <c r="F299" s="1"/>
      <c r="G299" s="1"/>
      <c r="H299" s="1"/>
      <c r="I299" s="1"/>
    </row>
    <row r="300" spans="4:9" x14ac:dyDescent="0.25">
      <c r="D300" s="1"/>
      <c r="E300" s="1"/>
      <c r="F300" s="1"/>
      <c r="G300" s="1"/>
      <c r="H300" s="1"/>
      <c r="I300" s="1"/>
    </row>
    <row r="301" spans="4:9" x14ac:dyDescent="0.25">
      <c r="D301" s="1"/>
      <c r="E301" s="1"/>
      <c r="F301" s="1"/>
      <c r="G301" s="1"/>
      <c r="H301" s="1"/>
      <c r="I301" s="1"/>
    </row>
    <row r="302" spans="4:9" x14ac:dyDescent="0.25">
      <c r="D302" s="1"/>
      <c r="E302" s="1"/>
      <c r="F302" s="1"/>
      <c r="G302" s="1"/>
      <c r="H302" s="1"/>
      <c r="I302" s="1"/>
    </row>
    <row r="303" spans="4:9" x14ac:dyDescent="0.25">
      <c r="D303" s="1"/>
      <c r="E303" s="1"/>
      <c r="F303" s="1"/>
      <c r="G303" s="1"/>
      <c r="H303" s="1"/>
      <c r="I303" s="1"/>
    </row>
    <row r="304" spans="4:9" x14ac:dyDescent="0.25">
      <c r="D304" s="1"/>
      <c r="E304" s="1"/>
      <c r="F304" s="1"/>
      <c r="G304" s="1"/>
      <c r="H304" s="1"/>
      <c r="I304" s="1"/>
    </row>
    <row r="305" spans="4:9" x14ac:dyDescent="0.25">
      <c r="D305" s="1"/>
      <c r="E305" s="1"/>
      <c r="F305" s="1"/>
      <c r="G305" s="1"/>
      <c r="H305" s="1"/>
      <c r="I305" s="1"/>
    </row>
    <row r="306" spans="4:9" x14ac:dyDescent="0.25">
      <c r="D306" s="1"/>
      <c r="E306" s="1"/>
      <c r="F306" s="1"/>
      <c r="G306" s="1"/>
      <c r="H306" s="1"/>
      <c r="I306" s="1"/>
    </row>
    <row r="307" spans="4:9" x14ac:dyDescent="0.25">
      <c r="D307" s="1"/>
      <c r="E307" s="1"/>
      <c r="F307" s="1"/>
      <c r="G307" s="1"/>
      <c r="H307" s="1"/>
      <c r="I307" s="1"/>
    </row>
    <row r="308" spans="4:9" x14ac:dyDescent="0.25">
      <c r="D308" s="1"/>
      <c r="E308" s="1"/>
      <c r="F308" s="1"/>
      <c r="G308" s="1"/>
      <c r="H308" s="1"/>
      <c r="I308" s="1"/>
    </row>
    <row r="309" spans="4:9" x14ac:dyDescent="0.25">
      <c r="D309" s="1"/>
      <c r="E309" s="1"/>
      <c r="F309" s="1"/>
      <c r="G309" s="1"/>
      <c r="H309" s="1"/>
      <c r="I309" s="1"/>
    </row>
    <row r="310" spans="4:9" x14ac:dyDescent="0.25">
      <c r="D310" s="1"/>
      <c r="E310" s="1"/>
      <c r="F310" s="1"/>
      <c r="G310" s="1"/>
      <c r="H310" s="1"/>
      <c r="I310" s="1"/>
    </row>
    <row r="311" spans="4:9" x14ac:dyDescent="0.25">
      <c r="D311" s="1"/>
      <c r="E311" s="1"/>
      <c r="F311" s="1"/>
      <c r="G311" s="1"/>
      <c r="H311" s="1"/>
      <c r="I311" s="1"/>
    </row>
    <row r="312" spans="4:9" x14ac:dyDescent="0.25">
      <c r="D312" s="1"/>
      <c r="E312" s="1"/>
      <c r="F312" s="1"/>
      <c r="G312" s="1"/>
      <c r="H312" s="1"/>
      <c r="I312" s="1"/>
    </row>
    <row r="313" spans="4:9" x14ac:dyDescent="0.25">
      <c r="D313" s="1"/>
      <c r="E313" s="1"/>
      <c r="F313" s="1"/>
      <c r="G313" s="1"/>
      <c r="H313" s="1"/>
      <c r="I313" s="1"/>
    </row>
    <row r="314" spans="4:9" x14ac:dyDescent="0.25">
      <c r="D314" s="1"/>
      <c r="E314" s="1"/>
      <c r="F314" s="1"/>
      <c r="G314" s="1"/>
      <c r="H314" s="1"/>
      <c r="I314" s="1"/>
    </row>
    <row r="315" spans="4:9" x14ac:dyDescent="0.25">
      <c r="D315" s="1"/>
      <c r="E315" s="1"/>
      <c r="F315" s="1"/>
      <c r="G315" s="1"/>
      <c r="H315" s="1"/>
      <c r="I315" s="1"/>
    </row>
    <row r="316" spans="4:9" x14ac:dyDescent="0.25">
      <c r="D316" s="1"/>
      <c r="E316" s="1"/>
      <c r="F316" s="1"/>
      <c r="G316" s="1"/>
      <c r="H316" s="1"/>
      <c r="I316" s="1"/>
    </row>
    <row r="317" spans="4:9" x14ac:dyDescent="0.25">
      <c r="D317" s="1"/>
      <c r="E317" s="1"/>
      <c r="F317" s="1"/>
      <c r="G317" s="1"/>
      <c r="H317" s="1"/>
      <c r="I317" s="1"/>
    </row>
    <row r="318" spans="4:9" x14ac:dyDescent="0.25">
      <c r="D318" s="1"/>
      <c r="E318" s="1"/>
      <c r="F318" s="1"/>
      <c r="G318" s="1"/>
      <c r="H318" s="1"/>
      <c r="I318" s="1"/>
    </row>
    <row r="319" spans="4:9" x14ac:dyDescent="0.25">
      <c r="D319" s="1"/>
      <c r="E319" s="1"/>
      <c r="F319" s="1"/>
      <c r="G319" s="1"/>
      <c r="H319" s="1"/>
      <c r="I319" s="1"/>
    </row>
    <row r="320" spans="4:9" x14ac:dyDescent="0.25">
      <c r="D320" s="1"/>
      <c r="E320" s="1"/>
      <c r="F320" s="1"/>
      <c r="G320" s="1"/>
      <c r="H320" s="1"/>
      <c r="I320" s="1"/>
    </row>
    <row r="321" spans="4:9" x14ac:dyDescent="0.25">
      <c r="D321" s="1"/>
      <c r="E321" s="1"/>
      <c r="F321" s="1"/>
      <c r="G321" s="1"/>
      <c r="H321" s="1"/>
      <c r="I321" s="1"/>
    </row>
    <row r="322" spans="4:9" x14ac:dyDescent="0.25">
      <c r="D322" s="1"/>
      <c r="E322" s="1"/>
      <c r="F322" s="1"/>
      <c r="G322" s="1"/>
      <c r="H322" s="1"/>
      <c r="I322" s="1"/>
    </row>
    <row r="323" spans="4:9" x14ac:dyDescent="0.25">
      <c r="D323" s="1"/>
      <c r="E323" s="1"/>
      <c r="F323" s="1"/>
      <c r="G323" s="1"/>
      <c r="H323" s="1"/>
      <c r="I323" s="1"/>
    </row>
    <row r="324" spans="4:9" x14ac:dyDescent="0.25">
      <c r="D324" s="1"/>
      <c r="E324" s="1"/>
      <c r="F324" s="1"/>
      <c r="G324" s="1"/>
      <c r="H324" s="1"/>
      <c r="I324" s="1"/>
    </row>
    <row r="325" spans="4:9" x14ac:dyDescent="0.25">
      <c r="D325" s="1"/>
      <c r="E325" s="1"/>
      <c r="F325" s="1"/>
      <c r="G325" s="1"/>
      <c r="H325" s="1"/>
      <c r="I325" s="1"/>
    </row>
    <row r="326" spans="4:9" x14ac:dyDescent="0.25">
      <c r="D326" s="1"/>
      <c r="E326" s="1"/>
      <c r="F326" s="1"/>
      <c r="G326" s="1"/>
      <c r="H326" s="1"/>
      <c r="I326" s="1"/>
    </row>
    <row r="327" spans="4:9" x14ac:dyDescent="0.25">
      <c r="D327" s="1"/>
      <c r="E327" s="1"/>
      <c r="F327" s="1"/>
      <c r="G327" s="1"/>
      <c r="H327" s="1"/>
      <c r="I327" s="1"/>
    </row>
    <row r="328" spans="4:9" x14ac:dyDescent="0.25">
      <c r="D328" s="1"/>
      <c r="E328" s="1"/>
      <c r="F328" s="1"/>
      <c r="G328" s="1"/>
      <c r="H328" s="1"/>
      <c r="I328" s="1"/>
    </row>
    <row r="329" spans="4:9" x14ac:dyDescent="0.25">
      <c r="D329" s="1"/>
      <c r="E329" s="1"/>
      <c r="F329" s="1"/>
      <c r="G329" s="1"/>
      <c r="H329" s="1"/>
      <c r="I329" s="1"/>
    </row>
    <row r="330" spans="4:9" x14ac:dyDescent="0.25">
      <c r="D330" s="1"/>
      <c r="E330" s="1"/>
      <c r="F330" s="1"/>
      <c r="G330" s="1"/>
      <c r="H330" s="1"/>
      <c r="I330" s="1"/>
    </row>
    <row r="331" spans="4:9" x14ac:dyDescent="0.25">
      <c r="D331" s="1"/>
      <c r="E331" s="1"/>
      <c r="F331" s="1"/>
      <c r="G331" s="1"/>
      <c r="H331" s="1"/>
      <c r="I331" s="1"/>
    </row>
    <row r="332" spans="4:9" x14ac:dyDescent="0.25">
      <c r="D332" s="1"/>
      <c r="E332" s="1"/>
      <c r="F332" s="1"/>
      <c r="G332" s="1"/>
      <c r="H332" s="1"/>
      <c r="I332" s="1"/>
    </row>
    <row r="333" spans="4:9" x14ac:dyDescent="0.25">
      <c r="D333" s="1"/>
      <c r="E333" s="1"/>
      <c r="F333" s="1"/>
      <c r="G333" s="1"/>
      <c r="H333" s="1"/>
      <c r="I333" s="1"/>
    </row>
    <row r="334" spans="4:9" x14ac:dyDescent="0.25">
      <c r="D334" s="1"/>
      <c r="E334" s="1"/>
      <c r="F334" s="1"/>
      <c r="G334" s="1"/>
      <c r="H334" s="1"/>
      <c r="I334" s="1"/>
    </row>
    <row r="335" spans="4:9" x14ac:dyDescent="0.25">
      <c r="D335" s="1"/>
      <c r="E335" s="1"/>
      <c r="F335" s="1"/>
      <c r="G335" s="1"/>
      <c r="H335" s="1"/>
      <c r="I335" s="1"/>
    </row>
    <row r="336" spans="4:9" x14ac:dyDescent="0.25">
      <c r="D336" s="1"/>
      <c r="E336" s="1"/>
      <c r="F336" s="1"/>
      <c r="G336" s="1"/>
      <c r="H336" s="1"/>
      <c r="I336" s="1"/>
    </row>
    <row r="337" spans="4:9" x14ac:dyDescent="0.25">
      <c r="D337" s="1"/>
      <c r="E337" s="1"/>
      <c r="F337" s="1"/>
      <c r="G337" s="1"/>
      <c r="H337" s="1"/>
      <c r="I337" s="1"/>
    </row>
    <row r="338" spans="4:9" x14ac:dyDescent="0.25">
      <c r="D338" s="1"/>
      <c r="E338" s="1"/>
      <c r="F338" s="1"/>
      <c r="G338" s="1"/>
      <c r="H338" s="1"/>
      <c r="I338" s="1"/>
    </row>
    <row r="339" spans="4:9" x14ac:dyDescent="0.25">
      <c r="D339" s="1"/>
      <c r="E339" s="1"/>
      <c r="F339" s="1"/>
      <c r="G339" s="1"/>
      <c r="H339" s="1"/>
      <c r="I339" s="1"/>
    </row>
    <row r="340" spans="4:9" x14ac:dyDescent="0.25">
      <c r="D340" s="1"/>
      <c r="E340" s="1"/>
      <c r="F340" s="1"/>
      <c r="G340" s="1"/>
      <c r="H340" s="1"/>
      <c r="I340" s="1"/>
    </row>
    <row r="341" spans="4:9" x14ac:dyDescent="0.25">
      <c r="D341" s="1"/>
      <c r="E341" s="1"/>
      <c r="F341" s="1"/>
      <c r="G341" s="1"/>
      <c r="H341" s="1"/>
      <c r="I341" s="1"/>
    </row>
    <row r="342" spans="4:9" x14ac:dyDescent="0.25">
      <c r="D342" s="1"/>
      <c r="E342" s="1"/>
      <c r="F342" s="1"/>
      <c r="G342" s="1"/>
      <c r="H342" s="1"/>
      <c r="I342" s="1"/>
    </row>
    <row r="343" spans="4:9" x14ac:dyDescent="0.25">
      <c r="D343" s="1"/>
      <c r="E343" s="1"/>
      <c r="F343" s="1"/>
      <c r="G343" s="1"/>
      <c r="H343" s="1"/>
      <c r="I343" s="1"/>
    </row>
    <row r="344" spans="4:9" x14ac:dyDescent="0.25">
      <c r="D344" s="1"/>
      <c r="E344" s="1"/>
      <c r="F344" s="1"/>
      <c r="G344" s="1"/>
      <c r="H344" s="1"/>
      <c r="I344" s="1"/>
    </row>
    <row r="345" spans="4:9" x14ac:dyDescent="0.25">
      <c r="D345" s="1"/>
      <c r="E345" s="1"/>
      <c r="F345" s="1"/>
      <c r="G345" s="1"/>
      <c r="H345" s="1"/>
      <c r="I345" s="1"/>
    </row>
    <row r="346" spans="4:9" x14ac:dyDescent="0.25">
      <c r="D346" s="1"/>
      <c r="E346" s="1"/>
      <c r="F346" s="1"/>
      <c r="G346" s="1"/>
      <c r="H346" s="1"/>
      <c r="I346" s="1"/>
    </row>
    <row r="347" spans="4:9" x14ac:dyDescent="0.25">
      <c r="D347" s="1"/>
      <c r="E347" s="1"/>
      <c r="F347" s="1"/>
      <c r="G347" s="1"/>
      <c r="H347" s="1"/>
      <c r="I347" s="1"/>
    </row>
    <row r="348" spans="4:9" x14ac:dyDescent="0.25">
      <c r="D348" s="1"/>
      <c r="E348" s="1"/>
      <c r="F348" s="1"/>
      <c r="G348" s="1"/>
      <c r="H348" s="1"/>
      <c r="I348" s="1"/>
    </row>
    <row r="349" spans="4:9" x14ac:dyDescent="0.25">
      <c r="D349" s="1"/>
      <c r="E349" s="1"/>
      <c r="F349" s="1"/>
      <c r="G349" s="1"/>
      <c r="H349" s="1"/>
      <c r="I349" s="1"/>
    </row>
    <row r="350" spans="4:9" x14ac:dyDescent="0.25">
      <c r="D350" s="1"/>
      <c r="E350" s="1"/>
      <c r="F350" s="1"/>
      <c r="G350" s="1"/>
      <c r="H350" s="1"/>
      <c r="I350" s="1"/>
    </row>
    <row r="351" spans="4:9" x14ac:dyDescent="0.25">
      <c r="D351" s="1"/>
      <c r="E351" s="1"/>
      <c r="F351" s="1"/>
      <c r="G351" s="1"/>
      <c r="H351" s="1"/>
      <c r="I351" s="1"/>
    </row>
    <row r="352" spans="4:9" x14ac:dyDescent="0.25">
      <c r="D352" s="1"/>
      <c r="E352" s="1"/>
      <c r="F352" s="1"/>
      <c r="G352" s="1"/>
      <c r="H352" s="1"/>
      <c r="I352" s="1"/>
    </row>
    <row r="353" spans="4:9" x14ac:dyDescent="0.25">
      <c r="D353" s="1"/>
      <c r="E353" s="1"/>
      <c r="F353" s="1"/>
      <c r="G353" s="1"/>
      <c r="H353" s="1"/>
      <c r="I353" s="1"/>
    </row>
    <row r="354" spans="4:9" x14ac:dyDescent="0.25">
      <c r="D354" s="1"/>
      <c r="E354" s="1"/>
      <c r="F354" s="1"/>
      <c r="G354" s="1"/>
      <c r="H354" s="1"/>
      <c r="I354" s="1"/>
    </row>
    <row r="355" spans="4:9" x14ac:dyDescent="0.25">
      <c r="D355" s="1"/>
      <c r="E355" s="1"/>
      <c r="F355" s="1"/>
      <c r="G355" s="1"/>
      <c r="H355" s="1"/>
      <c r="I355" s="1"/>
    </row>
    <row r="356" spans="4:9" x14ac:dyDescent="0.25">
      <c r="D356" s="1"/>
      <c r="E356" s="1"/>
      <c r="F356" s="1"/>
      <c r="G356" s="1"/>
      <c r="H356" s="1"/>
      <c r="I356" s="1"/>
    </row>
    <row r="357" spans="4:9" x14ac:dyDescent="0.25">
      <c r="D357" s="1"/>
      <c r="E357" s="1"/>
      <c r="F357" s="1"/>
      <c r="G357" s="1"/>
      <c r="H357" s="1"/>
      <c r="I357" s="1"/>
    </row>
    <row r="358" spans="4:9" x14ac:dyDescent="0.25">
      <c r="D358" s="1"/>
      <c r="E358" s="1"/>
      <c r="F358" s="1"/>
      <c r="G358" s="1"/>
      <c r="H358" s="1"/>
      <c r="I358" s="1"/>
    </row>
    <row r="359" spans="4:9" x14ac:dyDescent="0.25">
      <c r="D359" s="1"/>
      <c r="E359" s="1"/>
      <c r="F359" s="1"/>
      <c r="G359" s="1"/>
      <c r="H359" s="1"/>
      <c r="I359" s="1"/>
    </row>
    <row r="360" spans="4:9" x14ac:dyDescent="0.25">
      <c r="D360" s="1"/>
      <c r="E360" s="1"/>
      <c r="F360" s="1"/>
      <c r="G360" s="1"/>
      <c r="H360" s="1"/>
      <c r="I360" s="1"/>
    </row>
    <row r="361" spans="4:9" x14ac:dyDescent="0.25">
      <c r="D361" s="1"/>
      <c r="E361" s="1"/>
      <c r="F361" s="1"/>
      <c r="G361" s="1"/>
      <c r="H361" s="1"/>
      <c r="I361" s="1"/>
    </row>
    <row r="362" spans="4:9" x14ac:dyDescent="0.25">
      <c r="D362" s="1"/>
      <c r="E362" s="1"/>
      <c r="F362" s="1"/>
      <c r="G362" s="1"/>
      <c r="H362" s="1"/>
      <c r="I362" s="1"/>
    </row>
    <row r="363" spans="4:9" x14ac:dyDescent="0.25">
      <c r="D363" s="1"/>
      <c r="E363" s="1"/>
      <c r="F363" s="1"/>
      <c r="G363" s="1"/>
      <c r="H363" s="1"/>
      <c r="I363" s="1"/>
    </row>
    <row r="364" spans="4:9" x14ac:dyDescent="0.25">
      <c r="D364" s="1"/>
      <c r="E364" s="1"/>
      <c r="F364" s="1"/>
      <c r="G364" s="1"/>
      <c r="H364" s="1"/>
      <c r="I364" s="1"/>
    </row>
    <row r="365" spans="4:9" x14ac:dyDescent="0.25">
      <c r="D365" s="1"/>
      <c r="E365" s="1"/>
      <c r="F365" s="1"/>
      <c r="G365" s="1"/>
      <c r="H365" s="1"/>
      <c r="I365" s="1"/>
    </row>
    <row r="366" spans="4:9" x14ac:dyDescent="0.25">
      <c r="D366" s="1"/>
      <c r="E366" s="1"/>
      <c r="F366" s="1"/>
      <c r="G366" s="1"/>
      <c r="H366" s="1"/>
      <c r="I366" s="1"/>
    </row>
    <row r="367" spans="4:9" x14ac:dyDescent="0.25">
      <c r="D367" s="1"/>
      <c r="E367" s="1"/>
      <c r="F367" s="1"/>
      <c r="G367" s="1"/>
      <c r="H367" s="1"/>
      <c r="I367" s="1"/>
    </row>
    <row r="368" spans="4:9" x14ac:dyDescent="0.25">
      <c r="D368" s="1"/>
      <c r="E368" s="1"/>
      <c r="F368" s="1"/>
      <c r="G368" s="1"/>
      <c r="H368" s="1"/>
      <c r="I368" s="1"/>
    </row>
    <row r="369" spans="4:9" x14ac:dyDescent="0.25">
      <c r="D369" s="1"/>
      <c r="E369" s="1"/>
      <c r="F369" s="1"/>
      <c r="G369" s="1"/>
      <c r="H369" s="1"/>
      <c r="I369" s="1"/>
    </row>
    <row r="370" spans="4:9" x14ac:dyDescent="0.25">
      <c r="D370" s="1"/>
      <c r="E370" s="1"/>
      <c r="F370" s="1"/>
      <c r="G370" s="1"/>
      <c r="H370" s="1"/>
      <c r="I370" s="1"/>
    </row>
    <row r="371" spans="4:9" x14ac:dyDescent="0.25">
      <c r="D371" s="1"/>
      <c r="E371" s="1"/>
      <c r="F371" s="1"/>
      <c r="G371" s="1"/>
      <c r="H371" s="1"/>
      <c r="I371" s="1"/>
    </row>
    <row r="372" spans="4:9" x14ac:dyDescent="0.25">
      <c r="D372" s="1"/>
      <c r="E372" s="1"/>
      <c r="F372" s="1"/>
      <c r="G372" s="1"/>
      <c r="H372" s="1"/>
      <c r="I372" s="1"/>
    </row>
    <row r="373" spans="4:9" x14ac:dyDescent="0.25">
      <c r="D373" s="1"/>
      <c r="E373" s="1"/>
      <c r="F373" s="1"/>
      <c r="G373" s="1"/>
      <c r="H373" s="1"/>
      <c r="I373" s="1"/>
    </row>
    <row r="374" spans="4:9" x14ac:dyDescent="0.25">
      <c r="D374" s="1"/>
      <c r="E374" s="1"/>
      <c r="F374" s="1"/>
      <c r="G374" s="1"/>
      <c r="H374" s="1"/>
      <c r="I374" s="1"/>
    </row>
    <row r="375" spans="4:9" x14ac:dyDescent="0.25">
      <c r="D375" s="1"/>
      <c r="E375" s="1"/>
      <c r="F375" s="1"/>
      <c r="G375" s="1"/>
      <c r="H375" s="1"/>
      <c r="I375" s="1"/>
    </row>
    <row r="376" spans="4:9" x14ac:dyDescent="0.25">
      <c r="D376" s="1"/>
      <c r="E376" s="1"/>
      <c r="F376" s="1"/>
      <c r="G376" s="1"/>
      <c r="H376" s="1"/>
      <c r="I376" s="1"/>
    </row>
    <row r="377" spans="4:9" x14ac:dyDescent="0.25">
      <c r="D377" s="1"/>
      <c r="E377" s="1"/>
      <c r="F377" s="1"/>
      <c r="G377" s="1"/>
      <c r="H377" s="1"/>
      <c r="I377" s="1"/>
    </row>
    <row r="378" spans="4:9" x14ac:dyDescent="0.25">
      <c r="D378" s="1"/>
      <c r="E378" s="1"/>
      <c r="F378" s="1"/>
      <c r="G378" s="1"/>
      <c r="H378" s="1"/>
      <c r="I378" s="1"/>
    </row>
    <row r="379" spans="4:9" x14ac:dyDescent="0.25">
      <c r="D379" s="1"/>
      <c r="E379" s="1"/>
      <c r="F379" s="1"/>
      <c r="G379" s="1"/>
      <c r="H379" s="1"/>
      <c r="I379" s="1"/>
    </row>
    <row r="380" spans="4:9" x14ac:dyDescent="0.25">
      <c r="D380" s="1"/>
      <c r="E380" s="1"/>
      <c r="F380" s="1"/>
      <c r="G380" s="1"/>
      <c r="H380" s="1"/>
      <c r="I380" s="1"/>
    </row>
    <row r="381" spans="4:9" x14ac:dyDescent="0.25">
      <c r="D381" s="1"/>
      <c r="E381" s="1"/>
      <c r="F381" s="1"/>
      <c r="G381" s="1"/>
      <c r="H381" s="1"/>
      <c r="I381" s="1"/>
    </row>
    <row r="382" spans="4:9" x14ac:dyDescent="0.25">
      <c r="D382" s="1"/>
      <c r="E382" s="1"/>
      <c r="F382" s="1"/>
      <c r="G382" s="1"/>
      <c r="H382" s="1"/>
      <c r="I382" s="1"/>
    </row>
    <row r="383" spans="4:9" x14ac:dyDescent="0.25">
      <c r="D383" s="1"/>
      <c r="E383" s="1"/>
      <c r="F383" s="1"/>
      <c r="G383" s="1"/>
      <c r="H383" s="1"/>
      <c r="I383" s="1"/>
    </row>
    <row r="384" spans="4:9" x14ac:dyDescent="0.25">
      <c r="D384" s="1"/>
      <c r="E384" s="1"/>
      <c r="F384" s="1"/>
      <c r="G384" s="1"/>
      <c r="H384" s="1"/>
      <c r="I384" s="1"/>
    </row>
    <row r="385" spans="4:9" x14ac:dyDescent="0.25">
      <c r="D385" s="1"/>
      <c r="E385" s="1"/>
      <c r="F385" s="1"/>
      <c r="G385" s="1"/>
      <c r="H385" s="1"/>
      <c r="I385" s="1"/>
    </row>
    <row r="386" spans="4:9" x14ac:dyDescent="0.25">
      <c r="D386" s="1"/>
      <c r="E386" s="1"/>
      <c r="F386" s="1"/>
      <c r="G386" s="1"/>
      <c r="H386" s="1"/>
      <c r="I386" s="1"/>
    </row>
    <row r="387" spans="4:9" x14ac:dyDescent="0.25">
      <c r="D387" s="1"/>
      <c r="E387" s="1"/>
      <c r="F387" s="1"/>
      <c r="G387" s="1"/>
      <c r="H387" s="1"/>
      <c r="I387" s="1"/>
    </row>
    <row r="388" spans="4:9" x14ac:dyDescent="0.25">
      <c r="D388" s="1"/>
      <c r="E388" s="1"/>
      <c r="F388" s="1"/>
      <c r="G388" s="1"/>
      <c r="H388" s="1"/>
      <c r="I388" s="1"/>
    </row>
    <row r="389" spans="4:9" x14ac:dyDescent="0.25">
      <c r="D389" s="1"/>
      <c r="E389" s="1"/>
      <c r="F389" s="1"/>
      <c r="G389" s="1"/>
      <c r="H389" s="1"/>
      <c r="I389" s="1"/>
    </row>
    <row r="390" spans="4:9" x14ac:dyDescent="0.25">
      <c r="D390" s="1"/>
      <c r="E390" s="1"/>
      <c r="F390" s="1"/>
      <c r="G390" s="1"/>
      <c r="H390" s="1"/>
      <c r="I390" s="1"/>
    </row>
    <row r="391" spans="4:9" x14ac:dyDescent="0.25">
      <c r="D391" s="1"/>
      <c r="E391" s="1"/>
      <c r="F391" s="1"/>
      <c r="G391" s="1"/>
      <c r="H391" s="1"/>
      <c r="I391" s="1"/>
    </row>
    <row r="392" spans="4:9" x14ac:dyDescent="0.25">
      <c r="D392" s="1"/>
      <c r="E392" s="1"/>
      <c r="F392" s="1"/>
      <c r="G392" s="1"/>
      <c r="H392" s="1"/>
      <c r="I392" s="1"/>
    </row>
    <row r="393" spans="4:9" x14ac:dyDescent="0.25">
      <c r="D393" s="1"/>
      <c r="E393" s="1"/>
      <c r="F393" s="1"/>
      <c r="G393" s="1"/>
      <c r="H393" s="1"/>
      <c r="I393" s="1"/>
    </row>
    <row r="394" spans="4:9" x14ac:dyDescent="0.25">
      <c r="D394" s="1"/>
      <c r="E394" s="1"/>
      <c r="F394" s="1"/>
      <c r="G394" s="1"/>
      <c r="H394" s="1"/>
      <c r="I394" s="1"/>
    </row>
    <row r="395" spans="4:9" x14ac:dyDescent="0.25">
      <c r="D395" s="1"/>
      <c r="E395" s="1"/>
      <c r="F395" s="1"/>
      <c r="G395" s="1"/>
      <c r="H395" s="1"/>
      <c r="I395" s="1"/>
    </row>
    <row r="396" spans="4:9" x14ac:dyDescent="0.25">
      <c r="D396" s="1"/>
      <c r="E396" s="1"/>
      <c r="F396" s="1"/>
      <c r="G396" s="1"/>
      <c r="H396" s="1"/>
      <c r="I396" s="1"/>
    </row>
    <row r="397" spans="4:9" x14ac:dyDescent="0.25">
      <c r="D397" s="1"/>
      <c r="E397" s="1"/>
      <c r="F397" s="1"/>
      <c r="G397" s="1"/>
      <c r="H397" s="1"/>
      <c r="I397" s="1"/>
    </row>
    <row r="398" spans="4:9" x14ac:dyDescent="0.25">
      <c r="D398" s="1"/>
      <c r="E398" s="1"/>
      <c r="F398" s="1"/>
      <c r="G398" s="1"/>
      <c r="H398" s="1"/>
      <c r="I398" s="1"/>
    </row>
    <row r="399" spans="4:9" x14ac:dyDescent="0.25">
      <c r="D399" s="1"/>
      <c r="E399" s="1"/>
      <c r="F399" s="1"/>
      <c r="G399" s="1"/>
      <c r="H399" s="1"/>
      <c r="I399" s="1"/>
    </row>
    <row r="400" spans="4:9" x14ac:dyDescent="0.25">
      <c r="D400" s="1"/>
      <c r="E400" s="1"/>
      <c r="F400" s="1"/>
      <c r="G400" s="1"/>
      <c r="H400" s="1"/>
      <c r="I400" s="1"/>
    </row>
    <row r="401" spans="4:9" x14ac:dyDescent="0.25">
      <c r="D401" s="1"/>
      <c r="E401" s="1"/>
      <c r="F401" s="1"/>
      <c r="G401" s="1"/>
      <c r="H401" s="1"/>
      <c r="I401" s="1"/>
    </row>
    <row r="402" spans="4:9" x14ac:dyDescent="0.25">
      <c r="D402" s="1"/>
      <c r="E402" s="1"/>
      <c r="F402" s="1"/>
      <c r="G402" s="1"/>
      <c r="H402" s="1"/>
      <c r="I402" s="1"/>
    </row>
    <row r="403" spans="4:9" x14ac:dyDescent="0.25">
      <c r="D403" s="1"/>
      <c r="E403" s="1"/>
      <c r="F403" s="1"/>
      <c r="G403" s="1"/>
      <c r="H403" s="1"/>
      <c r="I403" s="1"/>
    </row>
    <row r="404" spans="4:9" x14ac:dyDescent="0.25">
      <c r="D404" s="1"/>
      <c r="E404" s="1"/>
      <c r="F404" s="1"/>
      <c r="G404" s="1"/>
      <c r="H404" s="1"/>
      <c r="I40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50C4-5A20-4C60-AE66-B41554FB219B}">
  <dimension ref="A1:I59"/>
  <sheetViews>
    <sheetView tabSelected="1" topLeftCell="A28" workbookViewId="0">
      <selection activeCell="E33" sqref="E33"/>
    </sheetView>
  </sheetViews>
  <sheetFormatPr defaultRowHeight="15" x14ac:dyDescent="0.25"/>
  <cols>
    <col min="1" max="1" width="9.140625" style="38"/>
    <col min="2" max="2" width="12.5703125" style="38" bestFit="1" customWidth="1"/>
    <col min="3" max="3" width="9.140625" style="38"/>
    <col min="4" max="4" width="16.42578125" style="10" bestFit="1" customWidth="1"/>
  </cols>
  <sheetData>
    <row r="1" spans="1:9" x14ac:dyDescent="0.25">
      <c r="A1" s="17" t="s">
        <v>0</v>
      </c>
      <c r="B1" s="38" t="s">
        <v>212</v>
      </c>
      <c r="C1" s="38" t="s">
        <v>213</v>
      </c>
      <c r="D1" s="7" t="s">
        <v>118</v>
      </c>
      <c r="E1" s="2" t="s">
        <v>218</v>
      </c>
      <c r="F1" s="2"/>
      <c r="G1" s="2"/>
      <c r="H1" s="2"/>
      <c r="I1" s="2"/>
    </row>
    <row r="2" spans="1:9" x14ac:dyDescent="0.25">
      <c r="A2" s="4">
        <v>1</v>
      </c>
      <c r="B2" s="4">
        <v>1852</v>
      </c>
      <c r="C2" s="38">
        <v>1967</v>
      </c>
      <c r="D2" s="39" t="s">
        <v>19</v>
      </c>
      <c r="E2" t="s">
        <v>219</v>
      </c>
      <c r="I2" s="4"/>
    </row>
    <row r="3" spans="1:9" x14ac:dyDescent="0.25">
      <c r="A3" s="4">
        <v>1</v>
      </c>
      <c r="B3" s="4">
        <v>1968</v>
      </c>
      <c r="C3" s="38">
        <v>1985</v>
      </c>
      <c r="D3" s="7" t="s">
        <v>20</v>
      </c>
      <c r="E3" t="s">
        <v>223</v>
      </c>
      <c r="I3" s="4"/>
    </row>
    <row r="4" spans="1:9" x14ac:dyDescent="0.25">
      <c r="A4" s="4">
        <v>1</v>
      </c>
      <c r="B4" s="4">
        <v>1986</v>
      </c>
      <c r="C4" s="38">
        <v>2000</v>
      </c>
      <c r="D4" s="7" t="s">
        <v>206</v>
      </c>
      <c r="E4" t="s">
        <v>223</v>
      </c>
      <c r="I4" s="4"/>
    </row>
    <row r="5" spans="1:9" x14ac:dyDescent="0.25">
      <c r="A5" s="4">
        <v>1</v>
      </c>
      <c r="B5" s="4">
        <v>2001</v>
      </c>
      <c r="C5" s="38">
        <v>2022</v>
      </c>
      <c r="D5" s="7" t="s">
        <v>202</v>
      </c>
      <c r="E5" t="s">
        <v>223</v>
      </c>
      <c r="I5" s="4"/>
    </row>
    <row r="6" spans="1:9" x14ac:dyDescent="0.25">
      <c r="A6" s="4">
        <v>3</v>
      </c>
      <c r="B6" s="4">
        <v>1852</v>
      </c>
      <c r="C6" s="38">
        <v>1967</v>
      </c>
      <c r="D6" s="7" t="s">
        <v>10</v>
      </c>
      <c r="E6" s="7" t="s">
        <v>220</v>
      </c>
      <c r="I6" s="4"/>
    </row>
    <row r="7" spans="1:9" x14ac:dyDescent="0.25">
      <c r="A7" s="4">
        <v>3</v>
      </c>
      <c r="B7" s="4">
        <v>1968</v>
      </c>
      <c r="C7" s="38">
        <v>1985</v>
      </c>
      <c r="D7" s="7" t="s">
        <v>10</v>
      </c>
      <c r="E7" s="7" t="s">
        <v>220</v>
      </c>
      <c r="I7" s="4"/>
    </row>
    <row r="8" spans="1:9" x14ac:dyDescent="0.25">
      <c r="A8" s="4">
        <v>3</v>
      </c>
      <c r="B8" s="4">
        <v>1986</v>
      </c>
      <c r="C8" s="38">
        <v>2001</v>
      </c>
      <c r="D8" s="7" t="s">
        <v>10</v>
      </c>
      <c r="E8" s="7" t="s">
        <v>220</v>
      </c>
      <c r="I8" s="4"/>
    </row>
    <row r="9" spans="1:9" x14ac:dyDescent="0.25">
      <c r="A9" s="4">
        <v>3</v>
      </c>
      <c r="B9" s="4">
        <v>2002</v>
      </c>
      <c r="C9" s="38">
        <v>2006</v>
      </c>
      <c r="D9" s="7" t="s">
        <v>10</v>
      </c>
      <c r="E9" s="7" t="s">
        <v>220</v>
      </c>
    </row>
    <row r="10" spans="1:9" x14ac:dyDescent="0.25">
      <c r="A10" s="4">
        <v>3</v>
      </c>
      <c r="B10" s="4">
        <v>2007</v>
      </c>
      <c r="C10" s="38">
        <v>2022</v>
      </c>
      <c r="D10" s="7" t="s">
        <v>10</v>
      </c>
      <c r="E10" s="7" t="s">
        <v>220</v>
      </c>
    </row>
    <row r="11" spans="1:9" x14ac:dyDescent="0.25">
      <c r="A11" s="4">
        <v>5</v>
      </c>
      <c r="B11" s="4">
        <v>1852</v>
      </c>
      <c r="C11" s="38">
        <v>1967</v>
      </c>
      <c r="D11" s="7" t="s">
        <v>214</v>
      </c>
      <c r="E11" s="7" t="s">
        <v>25</v>
      </c>
    </row>
    <row r="12" spans="1:9" x14ac:dyDescent="0.25">
      <c r="A12" s="4">
        <v>5</v>
      </c>
      <c r="B12" s="4">
        <v>1968</v>
      </c>
      <c r="C12" s="38">
        <v>1985</v>
      </c>
      <c r="D12" s="7" t="s">
        <v>12</v>
      </c>
      <c r="E12" s="7" t="s">
        <v>25</v>
      </c>
    </row>
    <row r="13" spans="1:9" x14ac:dyDescent="0.25">
      <c r="A13" s="4">
        <v>5</v>
      </c>
      <c r="B13" s="4">
        <v>1986</v>
      </c>
      <c r="C13" s="38">
        <v>2001</v>
      </c>
      <c r="D13" s="7" t="s">
        <v>25</v>
      </c>
      <c r="E13" s="7" t="s">
        <v>25</v>
      </c>
    </row>
    <row r="14" spans="1:9" x14ac:dyDescent="0.25">
      <c r="A14" s="4">
        <v>5</v>
      </c>
      <c r="B14" s="4">
        <v>2002</v>
      </c>
      <c r="C14" s="38">
        <v>2006</v>
      </c>
      <c r="D14" s="7" t="s">
        <v>201</v>
      </c>
      <c r="E14" s="7" t="s">
        <v>25</v>
      </c>
    </row>
    <row r="15" spans="1:9" x14ac:dyDescent="0.25">
      <c r="A15" s="4">
        <v>5</v>
      </c>
      <c r="B15" s="4">
        <v>2007</v>
      </c>
      <c r="C15" s="38">
        <v>2022</v>
      </c>
      <c r="D15" s="7" t="s">
        <v>201</v>
      </c>
      <c r="E15" s="7" t="s">
        <v>25</v>
      </c>
    </row>
    <row r="16" spans="1:9" x14ac:dyDescent="0.25">
      <c r="A16" s="4">
        <v>10</v>
      </c>
      <c r="B16" s="4">
        <v>1852</v>
      </c>
      <c r="C16" s="38">
        <v>1967</v>
      </c>
      <c r="D16" s="7" t="s">
        <v>211</v>
      </c>
      <c r="E16" s="7" t="s">
        <v>87</v>
      </c>
    </row>
    <row r="17" spans="1:5" x14ac:dyDescent="0.25">
      <c r="A17" s="4">
        <v>10</v>
      </c>
      <c r="B17" s="4">
        <v>1968</v>
      </c>
      <c r="C17" s="38">
        <v>1985</v>
      </c>
      <c r="D17" s="7" t="s">
        <v>211</v>
      </c>
      <c r="E17" s="7" t="s">
        <v>87</v>
      </c>
    </row>
    <row r="18" spans="1:5" x14ac:dyDescent="0.25">
      <c r="A18" s="4">
        <v>10</v>
      </c>
      <c r="B18" s="4">
        <v>1986</v>
      </c>
      <c r="C18" s="38">
        <v>2001</v>
      </c>
      <c r="D18" s="7" t="s">
        <v>211</v>
      </c>
      <c r="E18" s="7" t="s">
        <v>87</v>
      </c>
    </row>
    <row r="19" spans="1:5" x14ac:dyDescent="0.25">
      <c r="A19" s="4">
        <v>10</v>
      </c>
      <c r="B19" s="4">
        <v>2002</v>
      </c>
      <c r="C19" s="38">
        <v>2006</v>
      </c>
      <c r="D19" s="7" t="s">
        <v>210</v>
      </c>
      <c r="E19" s="7" t="s">
        <v>87</v>
      </c>
    </row>
    <row r="20" spans="1:5" x14ac:dyDescent="0.25">
      <c r="A20" s="4">
        <v>10</v>
      </c>
      <c r="B20" s="4">
        <v>2007</v>
      </c>
      <c r="C20" s="38">
        <v>2022</v>
      </c>
      <c r="D20" s="7" t="s">
        <v>210</v>
      </c>
      <c r="E20" s="7" t="s">
        <v>87</v>
      </c>
    </row>
    <row r="21" spans="1:5" x14ac:dyDescent="0.25">
      <c r="A21" s="4">
        <v>11</v>
      </c>
      <c r="B21" s="4">
        <v>1852</v>
      </c>
      <c r="C21" s="38">
        <v>1967</v>
      </c>
      <c r="D21" s="7" t="s">
        <v>216</v>
      </c>
      <c r="E21" s="7" t="s">
        <v>221</v>
      </c>
    </row>
    <row r="22" spans="1:5" x14ac:dyDescent="0.25">
      <c r="A22" s="4">
        <v>11</v>
      </c>
      <c r="B22" s="4">
        <v>1968</v>
      </c>
      <c r="C22" s="38">
        <v>1985</v>
      </c>
      <c r="D22" s="7" t="s">
        <v>216</v>
      </c>
      <c r="E22" s="7" t="s">
        <v>221</v>
      </c>
    </row>
    <row r="23" spans="1:5" x14ac:dyDescent="0.25">
      <c r="A23" s="4">
        <v>11</v>
      </c>
      <c r="B23" s="4">
        <v>1986</v>
      </c>
      <c r="C23" s="38">
        <v>2001</v>
      </c>
      <c r="D23" s="7" t="s">
        <v>216</v>
      </c>
      <c r="E23" s="7" t="s">
        <v>221</v>
      </c>
    </row>
    <row r="24" spans="1:5" x14ac:dyDescent="0.25">
      <c r="A24" s="4">
        <v>11</v>
      </c>
      <c r="B24" s="4">
        <v>2002</v>
      </c>
      <c r="C24" s="38">
        <v>2006</v>
      </c>
      <c r="D24" s="7" t="s">
        <v>205</v>
      </c>
      <c r="E24" s="7" t="s">
        <v>221</v>
      </c>
    </row>
    <row r="25" spans="1:5" x14ac:dyDescent="0.25">
      <c r="A25" s="4">
        <v>11</v>
      </c>
      <c r="B25" s="4">
        <v>2007</v>
      </c>
      <c r="C25" s="38">
        <v>2022</v>
      </c>
      <c r="D25" s="7" t="s">
        <v>205</v>
      </c>
      <c r="E25" s="7" t="s">
        <v>221</v>
      </c>
    </row>
    <row r="26" spans="1:5" x14ac:dyDescent="0.25">
      <c r="A26" s="4">
        <v>13</v>
      </c>
      <c r="B26" s="4">
        <v>1852</v>
      </c>
      <c r="C26" s="38">
        <v>1967</v>
      </c>
      <c r="D26" s="7" t="s">
        <v>217</v>
      </c>
      <c r="E26" s="7" t="s">
        <v>222</v>
      </c>
    </row>
    <row r="27" spans="1:5" x14ac:dyDescent="0.25">
      <c r="A27" s="4">
        <v>13</v>
      </c>
      <c r="B27" s="4">
        <v>1968</v>
      </c>
      <c r="C27" s="38">
        <v>1985</v>
      </c>
      <c r="D27" s="7" t="s">
        <v>217</v>
      </c>
      <c r="E27" s="7" t="s">
        <v>222</v>
      </c>
    </row>
    <row r="28" spans="1:5" x14ac:dyDescent="0.25">
      <c r="A28" s="4">
        <v>13</v>
      </c>
      <c r="B28" s="4">
        <v>1986</v>
      </c>
      <c r="C28" s="38">
        <v>2001</v>
      </c>
      <c r="D28" s="7" t="s">
        <v>217</v>
      </c>
      <c r="E28" s="7" t="s">
        <v>222</v>
      </c>
    </row>
    <row r="29" spans="1:5" x14ac:dyDescent="0.25">
      <c r="A29" s="4">
        <v>13</v>
      </c>
      <c r="B29" s="4">
        <v>2002</v>
      </c>
      <c r="C29" s="38">
        <v>2006</v>
      </c>
      <c r="D29" s="7" t="s">
        <v>203</v>
      </c>
      <c r="E29" s="7" t="s">
        <v>222</v>
      </c>
    </row>
    <row r="30" spans="1:5" x14ac:dyDescent="0.25">
      <c r="A30" s="4">
        <v>13</v>
      </c>
      <c r="B30" s="4">
        <v>2007</v>
      </c>
      <c r="C30" s="38">
        <v>2022</v>
      </c>
      <c r="D30" s="7" t="s">
        <v>203</v>
      </c>
      <c r="E30" s="7" t="s">
        <v>222</v>
      </c>
    </row>
    <row r="31" spans="1:5" x14ac:dyDescent="0.25">
      <c r="A31" s="4">
        <v>14</v>
      </c>
      <c r="B31" s="4">
        <v>1852</v>
      </c>
      <c r="C31" s="38">
        <v>1967</v>
      </c>
      <c r="D31" s="7" t="s">
        <v>215</v>
      </c>
      <c r="E31" s="7" t="s">
        <v>245</v>
      </c>
    </row>
    <row r="32" spans="1:5" x14ac:dyDescent="0.25">
      <c r="A32" s="4">
        <v>14</v>
      </c>
      <c r="B32" s="4">
        <v>1968</v>
      </c>
      <c r="C32" s="38">
        <v>1985</v>
      </c>
      <c r="D32" s="7" t="s">
        <v>207</v>
      </c>
      <c r="E32" s="7" t="s">
        <v>246</v>
      </c>
    </row>
    <row r="33" spans="1:5" x14ac:dyDescent="0.25">
      <c r="A33" s="4">
        <v>14</v>
      </c>
      <c r="B33" s="4">
        <v>1986</v>
      </c>
      <c r="C33" s="38">
        <v>2001</v>
      </c>
      <c r="D33" s="7" t="s">
        <v>207</v>
      </c>
      <c r="E33" s="7" t="s">
        <v>246</v>
      </c>
    </row>
    <row r="34" spans="1:5" x14ac:dyDescent="0.25">
      <c r="A34" s="4">
        <v>14</v>
      </c>
      <c r="B34" s="4">
        <v>2002</v>
      </c>
      <c r="C34" s="38">
        <v>2006</v>
      </c>
      <c r="D34" s="7" t="s">
        <v>204</v>
      </c>
      <c r="E34" s="7" t="s">
        <v>246</v>
      </c>
    </row>
    <row r="35" spans="1:5" x14ac:dyDescent="0.25">
      <c r="A35" s="4">
        <v>14</v>
      </c>
      <c r="B35" s="4">
        <v>2007</v>
      </c>
      <c r="C35" s="38">
        <v>2022</v>
      </c>
      <c r="D35" s="7" t="s">
        <v>204</v>
      </c>
      <c r="E35" s="7" t="s">
        <v>246</v>
      </c>
    </row>
    <row r="36" spans="1:5" x14ac:dyDescent="0.25">
      <c r="A36" s="4">
        <v>20</v>
      </c>
      <c r="B36" s="4">
        <v>1906</v>
      </c>
      <c r="C36" s="38">
        <v>1967</v>
      </c>
      <c r="D36" s="10" t="s">
        <v>225</v>
      </c>
      <c r="E36" s="7" t="s">
        <v>235</v>
      </c>
    </row>
    <row r="37" spans="1:5" x14ac:dyDescent="0.25">
      <c r="A37" s="4">
        <v>20</v>
      </c>
      <c r="B37" s="4">
        <v>1968</v>
      </c>
      <c r="C37" s="38">
        <v>1985</v>
      </c>
      <c r="D37" s="10" t="s">
        <v>226</v>
      </c>
      <c r="E37" s="7" t="s">
        <v>235</v>
      </c>
    </row>
    <row r="38" spans="1:5" x14ac:dyDescent="0.25">
      <c r="A38" s="4">
        <v>20</v>
      </c>
      <c r="B38" s="4">
        <v>1986</v>
      </c>
      <c r="C38" s="38">
        <v>2001</v>
      </c>
      <c r="D38" s="10" t="s">
        <v>227</v>
      </c>
      <c r="E38" s="7" t="s">
        <v>235</v>
      </c>
    </row>
    <row r="39" spans="1:5" x14ac:dyDescent="0.25">
      <c r="A39" s="4">
        <v>20</v>
      </c>
      <c r="B39" s="4">
        <v>2002</v>
      </c>
      <c r="C39" s="38">
        <v>2022</v>
      </c>
      <c r="D39" s="10" t="s">
        <v>228</v>
      </c>
      <c r="E39" s="7" t="s">
        <v>235</v>
      </c>
    </row>
    <row r="40" spans="1:5" x14ac:dyDescent="0.25">
      <c r="A40" s="4">
        <v>22</v>
      </c>
      <c r="B40" s="4">
        <v>1852</v>
      </c>
      <c r="C40" s="38">
        <v>1967</v>
      </c>
      <c r="D40" s="7" t="s">
        <v>120</v>
      </c>
      <c r="E40" s="7" t="s">
        <v>120</v>
      </c>
    </row>
    <row r="41" spans="1:5" x14ac:dyDescent="0.25">
      <c r="A41" s="4">
        <v>22</v>
      </c>
      <c r="B41" s="4">
        <v>1968</v>
      </c>
      <c r="C41" s="38">
        <v>1985</v>
      </c>
      <c r="D41" s="7" t="s">
        <v>120</v>
      </c>
      <c r="E41" s="7" t="s">
        <v>120</v>
      </c>
    </row>
    <row r="42" spans="1:5" x14ac:dyDescent="0.25">
      <c r="A42" s="4">
        <v>22</v>
      </c>
      <c r="B42" s="4">
        <v>1986</v>
      </c>
      <c r="C42" s="38">
        <v>2001</v>
      </c>
      <c r="D42" s="7" t="s">
        <v>120</v>
      </c>
      <c r="E42" s="7" t="s">
        <v>120</v>
      </c>
    </row>
    <row r="43" spans="1:5" x14ac:dyDescent="0.25">
      <c r="A43" s="4">
        <v>22</v>
      </c>
      <c r="B43" s="4">
        <v>2002</v>
      </c>
      <c r="C43" s="38">
        <v>2006</v>
      </c>
      <c r="D43" s="7" t="s">
        <v>120</v>
      </c>
      <c r="E43" s="7" t="s">
        <v>120</v>
      </c>
    </row>
    <row r="44" spans="1:5" x14ac:dyDescent="0.25">
      <c r="A44" s="4">
        <v>22</v>
      </c>
      <c r="B44" s="4">
        <v>2007</v>
      </c>
      <c r="C44" s="38">
        <v>2022</v>
      </c>
      <c r="D44" s="7" t="s">
        <v>120</v>
      </c>
      <c r="E44" s="7" t="s">
        <v>120</v>
      </c>
    </row>
    <row r="45" spans="1:5" x14ac:dyDescent="0.25">
      <c r="A45" s="4">
        <v>16</v>
      </c>
      <c r="B45" s="4">
        <v>1852</v>
      </c>
      <c r="C45" s="38">
        <v>1967</v>
      </c>
      <c r="D45" s="7" t="s">
        <v>236</v>
      </c>
      <c r="E45" s="7" t="s">
        <v>240</v>
      </c>
    </row>
    <row r="46" spans="1:5" x14ac:dyDescent="0.25">
      <c r="A46" s="4">
        <v>16</v>
      </c>
      <c r="B46" s="4">
        <v>1968</v>
      </c>
      <c r="C46" s="38">
        <v>1985</v>
      </c>
      <c r="D46" s="7" t="s">
        <v>237</v>
      </c>
      <c r="E46" s="7" t="s">
        <v>240</v>
      </c>
    </row>
    <row r="47" spans="1:5" x14ac:dyDescent="0.25">
      <c r="A47" s="4">
        <v>16</v>
      </c>
      <c r="B47" s="4">
        <v>1986</v>
      </c>
      <c r="C47" s="38">
        <v>2001</v>
      </c>
      <c r="D47" s="7" t="s">
        <v>238</v>
      </c>
      <c r="E47" s="7" t="s">
        <v>240</v>
      </c>
    </row>
    <row r="48" spans="1:5" x14ac:dyDescent="0.25">
      <c r="A48" s="4">
        <v>16</v>
      </c>
      <c r="B48" s="4">
        <v>2002</v>
      </c>
      <c r="C48" s="38">
        <v>2006</v>
      </c>
      <c r="D48" s="7" t="s">
        <v>239</v>
      </c>
      <c r="E48" s="7" t="s">
        <v>240</v>
      </c>
    </row>
    <row r="49" spans="1:5" x14ac:dyDescent="0.25">
      <c r="A49" s="4">
        <v>16</v>
      </c>
      <c r="B49" s="4">
        <v>2007</v>
      </c>
      <c r="C49" s="38">
        <v>2022</v>
      </c>
      <c r="D49" s="7" t="s">
        <v>239</v>
      </c>
      <c r="E49" s="7" t="s">
        <v>240</v>
      </c>
    </row>
    <row r="50" spans="1:5" x14ac:dyDescent="0.25">
      <c r="A50" s="4">
        <v>6</v>
      </c>
      <c r="B50" s="4">
        <v>1852</v>
      </c>
      <c r="C50" s="38">
        <v>1967</v>
      </c>
      <c r="D50" s="7" t="s">
        <v>241</v>
      </c>
      <c r="E50" s="7" t="s">
        <v>247</v>
      </c>
    </row>
    <row r="51" spans="1:5" x14ac:dyDescent="0.25">
      <c r="A51" s="4">
        <v>6</v>
      </c>
      <c r="B51" s="4">
        <v>1968</v>
      </c>
      <c r="C51" s="38">
        <v>1985</v>
      </c>
      <c r="D51" s="7" t="s">
        <v>242</v>
      </c>
      <c r="E51" s="7" t="s">
        <v>247</v>
      </c>
    </row>
    <row r="52" spans="1:5" x14ac:dyDescent="0.25">
      <c r="A52" s="4">
        <v>6</v>
      </c>
      <c r="B52" s="4">
        <v>1986</v>
      </c>
      <c r="C52" s="38">
        <v>2001</v>
      </c>
      <c r="D52" s="7" t="s">
        <v>243</v>
      </c>
      <c r="E52" s="7" t="s">
        <v>247</v>
      </c>
    </row>
    <row r="53" spans="1:5" x14ac:dyDescent="0.25">
      <c r="A53" s="4">
        <v>6</v>
      </c>
      <c r="B53" s="4">
        <v>2002</v>
      </c>
      <c r="C53" s="38">
        <v>2006</v>
      </c>
      <c r="D53" s="7" t="s">
        <v>244</v>
      </c>
      <c r="E53" s="7" t="s">
        <v>247</v>
      </c>
    </row>
    <row r="54" spans="1:5" x14ac:dyDescent="0.25">
      <c r="A54" s="4">
        <v>6</v>
      </c>
      <c r="B54" s="4">
        <v>2007</v>
      </c>
      <c r="C54" s="38">
        <v>2022</v>
      </c>
      <c r="D54" s="7" t="s">
        <v>244</v>
      </c>
      <c r="E54" s="7" t="s">
        <v>247</v>
      </c>
    </row>
    <row r="55" spans="1:5" x14ac:dyDescent="0.25">
      <c r="A55" s="4">
        <v>7</v>
      </c>
      <c r="B55" s="4">
        <v>1852</v>
      </c>
      <c r="C55" s="38">
        <v>1967</v>
      </c>
      <c r="D55" s="7" t="s">
        <v>236</v>
      </c>
      <c r="E55" s="7" t="s">
        <v>248</v>
      </c>
    </row>
    <row r="56" spans="1:5" x14ac:dyDescent="0.25">
      <c r="A56" s="4">
        <v>7</v>
      </c>
      <c r="B56" s="4">
        <v>1968</v>
      </c>
      <c r="C56" s="38">
        <v>1985</v>
      </c>
      <c r="D56" s="7" t="s">
        <v>249</v>
      </c>
      <c r="E56" s="7" t="s">
        <v>248</v>
      </c>
    </row>
    <row r="57" spans="1:5" x14ac:dyDescent="0.25">
      <c r="A57" s="4">
        <v>7</v>
      </c>
      <c r="B57" s="4">
        <v>1986</v>
      </c>
      <c r="C57" s="38">
        <v>2001</v>
      </c>
      <c r="D57" s="7" t="s">
        <v>250</v>
      </c>
      <c r="E57" s="7" t="s">
        <v>248</v>
      </c>
    </row>
    <row r="58" spans="1:5" x14ac:dyDescent="0.25">
      <c r="A58" s="4">
        <v>7</v>
      </c>
      <c r="B58" s="4">
        <v>2002</v>
      </c>
      <c r="C58" s="38">
        <v>2006</v>
      </c>
      <c r="D58" s="7" t="s">
        <v>251</v>
      </c>
      <c r="E58" s="7" t="s">
        <v>248</v>
      </c>
    </row>
    <row r="59" spans="1:5" x14ac:dyDescent="0.25">
      <c r="A59" s="4">
        <v>7</v>
      </c>
      <c r="B59" s="4">
        <v>2007</v>
      </c>
      <c r="C59" s="38">
        <v>2022</v>
      </c>
      <c r="D59" s="7" t="s">
        <v>251</v>
      </c>
      <c r="E59" s="7" t="s">
        <v>248</v>
      </c>
    </row>
  </sheetData>
  <sortState xmlns:xlrd2="http://schemas.microsoft.com/office/spreadsheetml/2017/richdata2" ref="A2:E44">
    <sortCondition ref="A2:A44"/>
    <sortCondition ref="B2:B4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8926-1667-46B4-9D2B-957276BF4D1A}">
  <dimension ref="A1:G62"/>
  <sheetViews>
    <sheetView workbookViewId="0">
      <selection activeCell="I5" sqref="I5"/>
    </sheetView>
  </sheetViews>
  <sheetFormatPr defaultRowHeight="15" x14ac:dyDescent="0.25"/>
  <cols>
    <col min="1" max="1" width="16.42578125" bestFit="1" customWidth="1"/>
    <col min="2" max="2" width="9.7109375" bestFit="1" customWidth="1"/>
  </cols>
  <sheetData>
    <row r="1" spans="1:7" x14ac:dyDescent="0.25">
      <c r="A1" s="36" t="s">
        <v>118</v>
      </c>
      <c r="B1" s="36" t="s">
        <v>119</v>
      </c>
      <c r="C1" s="36" t="s">
        <v>196</v>
      </c>
      <c r="D1" s="36" t="s">
        <v>197</v>
      </c>
      <c r="E1" s="36" t="s">
        <v>198</v>
      </c>
      <c r="F1" s="36" t="s">
        <v>200</v>
      </c>
      <c r="G1" s="36" t="s">
        <v>224</v>
      </c>
    </row>
    <row r="2" spans="1:7" x14ac:dyDescent="0.25">
      <c r="A2" s="7" t="s">
        <v>202</v>
      </c>
      <c r="B2" t="s">
        <v>208</v>
      </c>
      <c r="C2" s="37">
        <v>192</v>
      </c>
      <c r="D2" s="37">
        <v>0</v>
      </c>
      <c r="E2" s="37">
        <v>0</v>
      </c>
      <c r="F2" s="8">
        <v>0</v>
      </c>
      <c r="G2" s="8">
        <v>1</v>
      </c>
    </row>
    <row r="3" spans="1:7" x14ac:dyDescent="0.25">
      <c r="A3" s="7" t="s">
        <v>20</v>
      </c>
      <c r="B3" s="8" t="s">
        <v>229</v>
      </c>
      <c r="C3" s="37">
        <v>96</v>
      </c>
      <c r="D3" s="37">
        <f>35</f>
        <v>35</v>
      </c>
      <c r="E3" s="37">
        <v>90</v>
      </c>
      <c r="F3" s="8">
        <v>35</v>
      </c>
      <c r="G3" s="8">
        <v>1</v>
      </c>
    </row>
    <row r="4" spans="1:7" x14ac:dyDescent="0.25">
      <c r="A4" s="7" t="s">
        <v>206</v>
      </c>
      <c r="B4" s="8" t="s">
        <v>252</v>
      </c>
      <c r="C4" s="37">
        <v>192</v>
      </c>
      <c r="D4" s="37">
        <f>35</f>
        <v>35</v>
      </c>
      <c r="E4" s="37">
        <v>90</v>
      </c>
      <c r="F4" s="8">
        <v>35</v>
      </c>
      <c r="G4" s="8">
        <v>1</v>
      </c>
    </row>
    <row r="5" spans="1:7" x14ac:dyDescent="0.25">
      <c r="A5" s="7" t="s">
        <v>10</v>
      </c>
      <c r="B5" s="8" t="s">
        <v>209</v>
      </c>
      <c r="C5" s="8">
        <v>0</v>
      </c>
      <c r="D5" s="8">
        <v>0</v>
      </c>
      <c r="E5" s="8">
        <v>0</v>
      </c>
      <c r="F5" s="8">
        <v>0</v>
      </c>
      <c r="G5" s="8">
        <v>3</v>
      </c>
    </row>
    <row r="6" spans="1:7" x14ac:dyDescent="0.25">
      <c r="A6" s="7" t="s">
        <v>201</v>
      </c>
      <c r="B6" t="s">
        <v>208</v>
      </c>
      <c r="C6" s="8">
        <v>0</v>
      </c>
      <c r="D6" s="8">
        <v>0</v>
      </c>
      <c r="E6" s="8">
        <v>90</v>
      </c>
      <c r="F6" s="8">
        <v>0</v>
      </c>
      <c r="G6" s="8">
        <v>5</v>
      </c>
    </row>
    <row r="7" spans="1:7" x14ac:dyDescent="0.25">
      <c r="A7" s="7" t="s">
        <v>12</v>
      </c>
      <c r="B7" s="8" t="s">
        <v>230</v>
      </c>
      <c r="C7" s="8">
        <v>0</v>
      </c>
      <c r="D7" s="8">
        <v>35</v>
      </c>
      <c r="E7" s="8">
        <v>90</v>
      </c>
      <c r="F7" s="8">
        <v>0</v>
      </c>
      <c r="G7" s="8">
        <v>5</v>
      </c>
    </row>
    <row r="8" spans="1:7" x14ac:dyDescent="0.25">
      <c r="A8" s="7" t="s">
        <v>25</v>
      </c>
      <c r="B8" s="8" t="s">
        <v>231</v>
      </c>
      <c r="C8" s="8">
        <v>0</v>
      </c>
      <c r="D8" s="8">
        <v>35</v>
      </c>
      <c r="E8" s="8">
        <v>90</v>
      </c>
      <c r="F8" s="8">
        <v>0</v>
      </c>
      <c r="G8" s="8">
        <v>5</v>
      </c>
    </row>
    <row r="9" spans="1:7" x14ac:dyDescent="0.25">
      <c r="A9" s="7" t="s">
        <v>214</v>
      </c>
      <c r="B9" s="8" t="s">
        <v>5</v>
      </c>
      <c r="C9" s="8">
        <v>0</v>
      </c>
      <c r="D9" s="8">
        <v>35</v>
      </c>
      <c r="E9" s="8">
        <v>90</v>
      </c>
      <c r="F9" s="8">
        <v>0</v>
      </c>
      <c r="G9" s="8">
        <v>5</v>
      </c>
    </row>
    <row r="10" spans="1:7" x14ac:dyDescent="0.25">
      <c r="A10" s="7" t="s">
        <v>211</v>
      </c>
      <c r="B10" s="8" t="s">
        <v>232</v>
      </c>
      <c r="C10" s="8">
        <v>96</v>
      </c>
      <c r="D10" s="8">
        <v>0</v>
      </c>
      <c r="E10" s="8">
        <v>0</v>
      </c>
      <c r="F10" s="8">
        <v>0</v>
      </c>
      <c r="G10" s="8">
        <v>10</v>
      </c>
    </row>
    <row r="11" spans="1:7" x14ac:dyDescent="0.25">
      <c r="A11" s="7" t="s">
        <v>210</v>
      </c>
      <c r="B11" s="8" t="s">
        <v>208</v>
      </c>
      <c r="C11" s="37">
        <v>192</v>
      </c>
      <c r="D11" s="8">
        <v>0</v>
      </c>
      <c r="E11" s="8">
        <v>0</v>
      </c>
      <c r="F11" s="8">
        <v>0</v>
      </c>
      <c r="G11" s="8">
        <v>10</v>
      </c>
    </row>
    <row r="12" spans="1:7" x14ac:dyDescent="0.25">
      <c r="A12" s="7" t="s">
        <v>216</v>
      </c>
      <c r="B12" s="8" t="s">
        <v>232</v>
      </c>
      <c r="C12" s="8">
        <v>96</v>
      </c>
      <c r="D12" s="8">
        <v>35</v>
      </c>
      <c r="E12" s="8">
        <v>0</v>
      </c>
      <c r="F12" s="8">
        <v>0</v>
      </c>
      <c r="G12" s="8">
        <v>11</v>
      </c>
    </row>
    <row r="13" spans="1:7" x14ac:dyDescent="0.25">
      <c r="A13" s="7" t="s">
        <v>205</v>
      </c>
      <c r="B13" s="8" t="s">
        <v>208</v>
      </c>
      <c r="C13" s="37">
        <v>192</v>
      </c>
      <c r="D13" s="8">
        <v>35</v>
      </c>
      <c r="E13" s="8">
        <v>0</v>
      </c>
      <c r="F13" s="8">
        <v>0</v>
      </c>
      <c r="G13" s="8">
        <v>11</v>
      </c>
    </row>
    <row r="14" spans="1:7" x14ac:dyDescent="0.25">
      <c r="A14" s="7" t="s">
        <v>217</v>
      </c>
      <c r="B14" s="8" t="s">
        <v>233</v>
      </c>
      <c r="C14" s="8">
        <v>96</v>
      </c>
      <c r="D14" s="8">
        <v>35</v>
      </c>
      <c r="E14" s="8">
        <v>90</v>
      </c>
      <c r="F14" s="8">
        <v>0</v>
      </c>
      <c r="G14" s="8">
        <v>13</v>
      </c>
    </row>
    <row r="15" spans="1:7" x14ac:dyDescent="0.25">
      <c r="A15" s="7" t="s">
        <v>203</v>
      </c>
      <c r="B15" s="8" t="s">
        <v>208</v>
      </c>
      <c r="C15" s="37">
        <v>192</v>
      </c>
      <c r="D15" s="8">
        <v>35</v>
      </c>
      <c r="E15" s="8">
        <v>90</v>
      </c>
      <c r="F15" s="8">
        <v>0</v>
      </c>
      <c r="G15" s="8">
        <v>13</v>
      </c>
    </row>
    <row r="16" spans="1:7" x14ac:dyDescent="0.25">
      <c r="A16" s="7" t="s">
        <v>207</v>
      </c>
      <c r="B16" s="8" t="s">
        <v>209</v>
      </c>
      <c r="C16" s="8">
        <v>96</v>
      </c>
      <c r="D16" s="8">
        <v>35</v>
      </c>
      <c r="E16" s="8">
        <v>90</v>
      </c>
      <c r="F16" s="8">
        <v>0</v>
      </c>
      <c r="G16" s="8">
        <v>14</v>
      </c>
    </row>
    <row r="17" spans="1:7" x14ac:dyDescent="0.25">
      <c r="A17" s="7" t="s">
        <v>215</v>
      </c>
      <c r="B17" s="8" t="s">
        <v>209</v>
      </c>
      <c r="C17" s="8">
        <v>96</v>
      </c>
      <c r="D17" s="8">
        <v>35</v>
      </c>
      <c r="E17" s="8">
        <v>0</v>
      </c>
      <c r="F17" s="8">
        <v>0</v>
      </c>
      <c r="G17" s="8">
        <v>14</v>
      </c>
    </row>
    <row r="18" spans="1:7" x14ac:dyDescent="0.25">
      <c r="A18" s="7" t="s">
        <v>204</v>
      </c>
      <c r="B18" s="8" t="s">
        <v>209</v>
      </c>
      <c r="C18" s="37">
        <v>192</v>
      </c>
      <c r="D18" s="8">
        <v>35</v>
      </c>
      <c r="E18" s="8">
        <v>90</v>
      </c>
      <c r="F18" s="8">
        <v>0</v>
      </c>
      <c r="G18" s="8">
        <v>14</v>
      </c>
    </row>
    <row r="19" spans="1:7" x14ac:dyDescent="0.25">
      <c r="A19" s="7" t="s">
        <v>226</v>
      </c>
      <c r="B19" s="8" t="s">
        <v>229</v>
      </c>
      <c r="C19" s="8">
        <v>96</v>
      </c>
      <c r="D19" s="8">
        <v>0</v>
      </c>
      <c r="E19" s="8">
        <v>90</v>
      </c>
      <c r="F19" s="8">
        <v>0</v>
      </c>
      <c r="G19" s="8">
        <v>20</v>
      </c>
    </row>
    <row r="20" spans="1:7" x14ac:dyDescent="0.25">
      <c r="A20" s="7" t="s">
        <v>227</v>
      </c>
      <c r="B20" s="8" t="s">
        <v>231</v>
      </c>
      <c r="C20" s="8">
        <v>96</v>
      </c>
      <c r="D20" s="8">
        <v>0</v>
      </c>
      <c r="E20" s="8">
        <v>90</v>
      </c>
      <c r="F20" s="8">
        <v>0</v>
      </c>
      <c r="G20" s="8">
        <v>20</v>
      </c>
    </row>
    <row r="21" spans="1:7" x14ac:dyDescent="0.25">
      <c r="A21" s="7" t="s">
        <v>225</v>
      </c>
      <c r="B21" s="8" t="s">
        <v>5</v>
      </c>
      <c r="C21" s="8">
        <v>96</v>
      </c>
      <c r="D21" s="8">
        <v>0</v>
      </c>
      <c r="E21" s="8">
        <v>90</v>
      </c>
      <c r="F21" s="8">
        <v>0</v>
      </c>
      <c r="G21" s="8">
        <v>20</v>
      </c>
    </row>
    <row r="22" spans="1:7" x14ac:dyDescent="0.25">
      <c r="A22" s="7" t="s">
        <v>228</v>
      </c>
      <c r="B22" s="8" t="s">
        <v>208</v>
      </c>
      <c r="C22" s="8">
        <v>96</v>
      </c>
      <c r="D22" s="8">
        <v>0</v>
      </c>
      <c r="E22" s="8">
        <v>90</v>
      </c>
      <c r="F22" s="8">
        <v>0</v>
      </c>
      <c r="G22" s="8">
        <v>20</v>
      </c>
    </row>
    <row r="23" spans="1:7" x14ac:dyDescent="0.25">
      <c r="A23" s="7" t="s">
        <v>120</v>
      </c>
      <c r="B23" s="8" t="s">
        <v>234</v>
      </c>
      <c r="C23" s="37">
        <v>0</v>
      </c>
      <c r="D23" s="37">
        <v>0</v>
      </c>
      <c r="E23" s="37">
        <v>0</v>
      </c>
      <c r="F23" s="8">
        <v>35</v>
      </c>
      <c r="G23" s="8">
        <v>22</v>
      </c>
    </row>
    <row r="24" spans="1:7" x14ac:dyDescent="0.25">
      <c r="A24" s="7" t="s">
        <v>237</v>
      </c>
      <c r="B24" s="8" t="s">
        <v>229</v>
      </c>
      <c r="C24" s="37">
        <v>144</v>
      </c>
      <c r="D24" s="8">
        <v>35</v>
      </c>
      <c r="E24" s="8">
        <v>90</v>
      </c>
      <c r="F24" s="8">
        <v>0</v>
      </c>
      <c r="G24" s="8">
        <v>16</v>
      </c>
    </row>
    <row r="25" spans="1:7" x14ac:dyDescent="0.25">
      <c r="A25" s="7" t="s">
        <v>238</v>
      </c>
      <c r="B25" s="8" t="s">
        <v>231</v>
      </c>
      <c r="C25" s="37">
        <v>240</v>
      </c>
      <c r="D25" s="8">
        <v>35</v>
      </c>
      <c r="E25" s="8">
        <v>90</v>
      </c>
      <c r="F25" s="8">
        <v>0</v>
      </c>
      <c r="G25" s="8">
        <v>16</v>
      </c>
    </row>
    <row r="26" spans="1:7" x14ac:dyDescent="0.25">
      <c r="A26" s="7" t="s">
        <v>239</v>
      </c>
      <c r="B26" s="8" t="s">
        <v>208</v>
      </c>
      <c r="C26" s="37">
        <v>240</v>
      </c>
      <c r="D26" s="37">
        <v>0</v>
      </c>
      <c r="E26" s="8">
        <v>90</v>
      </c>
      <c r="F26" s="8">
        <v>0</v>
      </c>
      <c r="G26" s="8">
        <v>16</v>
      </c>
    </row>
    <row r="27" spans="1:7" x14ac:dyDescent="0.25">
      <c r="A27" s="7" t="s">
        <v>242</v>
      </c>
      <c r="B27" s="8" t="s">
        <v>229</v>
      </c>
      <c r="C27" s="37">
        <v>48</v>
      </c>
      <c r="D27" s="8">
        <v>35</v>
      </c>
      <c r="E27" s="8">
        <v>90</v>
      </c>
      <c r="F27" s="8">
        <v>0</v>
      </c>
      <c r="G27" s="8">
        <v>6</v>
      </c>
    </row>
    <row r="28" spans="1:7" x14ac:dyDescent="0.25">
      <c r="A28" s="7" t="s">
        <v>243</v>
      </c>
      <c r="B28" s="8" t="s">
        <v>231</v>
      </c>
      <c r="C28" s="37">
        <v>48</v>
      </c>
      <c r="D28" s="8">
        <v>35</v>
      </c>
      <c r="E28" s="8">
        <v>90</v>
      </c>
      <c r="F28" s="8">
        <v>0</v>
      </c>
      <c r="G28" s="8">
        <v>6</v>
      </c>
    </row>
    <row r="29" spans="1:7" x14ac:dyDescent="0.25">
      <c r="A29" s="7" t="s">
        <v>244</v>
      </c>
      <c r="B29" s="8" t="s">
        <v>208</v>
      </c>
      <c r="C29" s="37">
        <v>48</v>
      </c>
      <c r="D29" s="37">
        <v>0</v>
      </c>
      <c r="E29" s="8">
        <v>90</v>
      </c>
      <c r="F29" s="8">
        <v>0</v>
      </c>
      <c r="G29" s="8">
        <v>6</v>
      </c>
    </row>
    <row r="30" spans="1:7" x14ac:dyDescent="0.25">
      <c r="A30" s="7" t="s">
        <v>249</v>
      </c>
      <c r="B30" s="8" t="s">
        <v>229</v>
      </c>
      <c r="C30" s="8">
        <v>96</v>
      </c>
      <c r="D30" s="8">
        <v>35</v>
      </c>
      <c r="E30" s="8">
        <v>90</v>
      </c>
      <c r="F30" s="8">
        <v>0</v>
      </c>
      <c r="G30" s="8">
        <v>7</v>
      </c>
    </row>
    <row r="31" spans="1:7" x14ac:dyDescent="0.25">
      <c r="A31" s="7" t="s">
        <v>250</v>
      </c>
      <c r="B31" s="8" t="s">
        <v>231</v>
      </c>
      <c r="C31" s="8">
        <v>96</v>
      </c>
      <c r="D31" s="8">
        <v>35</v>
      </c>
      <c r="E31" s="8">
        <v>90</v>
      </c>
      <c r="F31" s="8">
        <v>0</v>
      </c>
      <c r="G31" s="8">
        <v>7</v>
      </c>
    </row>
    <row r="32" spans="1:7" x14ac:dyDescent="0.25">
      <c r="A32" s="7" t="s">
        <v>251</v>
      </c>
      <c r="B32" s="8" t="s">
        <v>208</v>
      </c>
      <c r="C32" s="8">
        <v>96</v>
      </c>
      <c r="D32" s="37">
        <v>0</v>
      </c>
      <c r="E32" s="8">
        <v>90</v>
      </c>
      <c r="F32" s="8">
        <v>0</v>
      </c>
      <c r="G32" s="8">
        <v>7</v>
      </c>
    </row>
    <row r="33" spans="1:2" x14ac:dyDescent="0.25">
      <c r="A33" s="4"/>
    </row>
    <row r="34" spans="1:2" x14ac:dyDescent="0.25">
      <c r="A34" s="4"/>
    </row>
    <row r="35" spans="1:2" x14ac:dyDescent="0.25">
      <c r="A35" s="4"/>
    </row>
    <row r="36" spans="1:2" x14ac:dyDescent="0.25">
      <c r="A36" s="4"/>
    </row>
    <row r="37" spans="1:2" x14ac:dyDescent="0.25">
      <c r="A37" s="4"/>
    </row>
    <row r="38" spans="1:2" x14ac:dyDescent="0.25">
      <c r="A38" s="4"/>
    </row>
    <row r="39" spans="1:2" x14ac:dyDescent="0.25">
      <c r="A39" s="4"/>
      <c r="B39" s="4"/>
    </row>
    <row r="40" spans="1:2" x14ac:dyDescent="0.25">
      <c r="A40" s="4"/>
      <c r="B40" s="4"/>
    </row>
    <row r="41" spans="1:2" x14ac:dyDescent="0.25">
      <c r="A41" s="4"/>
      <c r="B41" s="4"/>
    </row>
    <row r="42" spans="1:2" x14ac:dyDescent="0.25">
      <c r="A42" s="4"/>
      <c r="B42" s="4"/>
    </row>
    <row r="43" spans="1:2" x14ac:dyDescent="0.25">
      <c r="A43" s="4"/>
      <c r="B43" s="4"/>
    </row>
    <row r="44" spans="1:2" x14ac:dyDescent="0.25">
      <c r="A44" s="4"/>
      <c r="B44" s="4"/>
    </row>
    <row r="45" spans="1:2" x14ac:dyDescent="0.25">
      <c r="A45" s="4"/>
      <c r="B45" s="4"/>
    </row>
    <row r="46" spans="1:2" x14ac:dyDescent="0.25">
      <c r="A46" s="4"/>
      <c r="B46" s="4"/>
    </row>
    <row r="47" spans="1:2" x14ac:dyDescent="0.25">
      <c r="A47" s="4"/>
    </row>
    <row r="48" spans="1:2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</sheetData>
  <sortState xmlns:xlrd2="http://schemas.microsoft.com/office/spreadsheetml/2017/richdata2" ref="A2:G23">
    <sortCondition ref="G2:G23"/>
    <sortCondition ref="A2:A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A90B-9F0D-418E-8A93-C46FD314A9A6}">
  <dimension ref="A1:Y74"/>
  <sheetViews>
    <sheetView workbookViewId="0">
      <pane xSplit="2" ySplit="1" topLeftCell="C35" activePane="bottomRight" state="frozen"/>
      <selection pane="topRight" activeCell="C1" sqref="C1"/>
      <selection pane="bottomLeft" activeCell="A2" sqref="A2"/>
      <selection pane="bottomRight" activeCell="S52" sqref="S52"/>
    </sheetView>
  </sheetViews>
  <sheetFormatPr defaultRowHeight="15" x14ac:dyDescent="0.25"/>
  <cols>
    <col min="1" max="1" width="11.28515625" style="8" customWidth="1"/>
    <col min="2" max="2" width="11.85546875" bestFit="1" customWidth="1"/>
    <col min="3" max="3" width="12" bestFit="1" customWidth="1"/>
    <col min="4" max="4" width="11.28515625" bestFit="1" customWidth="1"/>
    <col min="5" max="14" width="8.7109375" customWidth="1"/>
    <col min="15" max="15" width="3.28515625" customWidth="1"/>
    <col min="16" max="22" width="8.7109375" customWidth="1"/>
  </cols>
  <sheetData>
    <row r="1" spans="1:25" s="17" customFormat="1" ht="12.75" x14ac:dyDescent="0.2">
      <c r="A1" s="15" t="s">
        <v>121</v>
      </c>
      <c r="B1" s="17" t="s">
        <v>194</v>
      </c>
      <c r="C1" s="17" t="s">
        <v>200</v>
      </c>
      <c r="D1" s="17" t="s">
        <v>199</v>
      </c>
      <c r="E1" s="17" t="s">
        <v>185</v>
      </c>
      <c r="F1" s="17" t="s">
        <v>186</v>
      </c>
      <c r="G1" s="17" t="s">
        <v>195</v>
      </c>
      <c r="H1" s="17" t="s">
        <v>187</v>
      </c>
      <c r="I1" s="17" t="s">
        <v>188</v>
      </c>
      <c r="J1" s="17" t="s">
        <v>189</v>
      </c>
      <c r="K1" s="17" t="s">
        <v>190</v>
      </c>
      <c r="L1" s="17" t="s">
        <v>191</v>
      </c>
      <c r="M1" s="17" t="s">
        <v>192</v>
      </c>
      <c r="N1" s="17" t="s">
        <v>193</v>
      </c>
      <c r="R1" s="17" t="s">
        <v>87</v>
      </c>
      <c r="S1" s="17" t="s">
        <v>91</v>
      </c>
      <c r="T1" s="17" t="s">
        <v>89</v>
      </c>
    </row>
    <row r="2" spans="1:25" x14ac:dyDescent="0.25">
      <c r="A2" s="8" t="s">
        <v>122</v>
      </c>
      <c r="B2" s="14">
        <v>1968</v>
      </c>
      <c r="C2">
        <v>35</v>
      </c>
      <c r="E2">
        <v>26.25</v>
      </c>
      <c r="F2" s="18">
        <f>35*E2/100*1000</f>
        <v>9187.5</v>
      </c>
      <c r="I2">
        <v>2.3620000000000001</v>
      </c>
      <c r="J2">
        <v>0.501</v>
      </c>
      <c r="K2">
        <v>3.5270000000000001</v>
      </c>
      <c r="L2">
        <v>1.4590000000000001</v>
      </c>
      <c r="M2">
        <v>0.29499999999999998</v>
      </c>
      <c r="N2">
        <v>0.312</v>
      </c>
      <c r="Q2">
        <f>C2*1000*E2*0.01</f>
        <v>9187.5</v>
      </c>
      <c r="R2" s="19">
        <f>$Q2*I2*0.01</f>
        <v>217.00874999999999</v>
      </c>
      <c r="S2" s="19">
        <f t="shared" ref="S2:V2" si="0">$Q2*J2*0.01</f>
        <v>46.029375000000002</v>
      </c>
      <c r="T2" s="19">
        <f t="shared" si="0"/>
        <v>324.04312500000003</v>
      </c>
      <c r="U2" s="19">
        <f t="shared" si="0"/>
        <v>134.045625</v>
      </c>
      <c r="V2" s="19">
        <f t="shared" si="0"/>
        <v>27.103125000000002</v>
      </c>
      <c r="X2" s="20"/>
      <c r="Y2" s="19"/>
    </row>
    <row r="3" spans="1:25" x14ac:dyDescent="0.25">
      <c r="A3" s="8" t="s">
        <v>123</v>
      </c>
      <c r="B3" s="14">
        <v>1969</v>
      </c>
      <c r="C3">
        <v>35</v>
      </c>
      <c r="E3">
        <v>20.62</v>
      </c>
      <c r="F3" s="18">
        <f t="shared" ref="F3:F53" si="1">35*E3/100*1000</f>
        <v>7217.0000000000009</v>
      </c>
      <c r="I3">
        <v>3.0760000000000001</v>
      </c>
      <c r="J3">
        <v>0.64</v>
      </c>
      <c r="K3">
        <v>4.1849999999999996</v>
      </c>
      <c r="L3">
        <v>1.58</v>
      </c>
      <c r="M3">
        <v>0.33500000000000002</v>
      </c>
      <c r="N3">
        <v>0.37</v>
      </c>
      <c r="Q3">
        <f t="shared" ref="Q3:Q53" si="2">C3*1000*E3*0.01</f>
        <v>7217</v>
      </c>
      <c r="R3" s="19">
        <f t="shared" ref="R3:R53" si="3">$Q3*I3*0.01</f>
        <v>221.99492000000004</v>
      </c>
      <c r="S3" s="19">
        <f t="shared" ref="S3:S53" si="4">$Q3*J3*0.01</f>
        <v>46.188800000000001</v>
      </c>
      <c r="T3" s="19">
        <f t="shared" ref="T3:T53" si="5">$Q3*K3*0.01</f>
        <v>302.03144999999995</v>
      </c>
      <c r="U3" s="19">
        <f t="shared" ref="U3:U53" si="6">$Q3*L3*0.01</f>
        <v>114.02860000000001</v>
      </c>
      <c r="V3" s="19">
        <f t="shared" ref="V3:V53" si="7">$Q3*M3*0.01</f>
        <v>24.176950000000001</v>
      </c>
      <c r="X3" s="20"/>
      <c r="Y3" s="19"/>
    </row>
    <row r="4" spans="1:25" x14ac:dyDescent="0.25">
      <c r="A4" s="8" t="s">
        <v>124</v>
      </c>
      <c r="B4" s="14">
        <v>1970</v>
      </c>
      <c r="C4">
        <v>35</v>
      </c>
      <c r="E4" s="21">
        <v>24.5</v>
      </c>
      <c r="F4" s="18">
        <f t="shared" si="1"/>
        <v>8575</v>
      </c>
      <c r="I4">
        <v>3.1840000000000002</v>
      </c>
      <c r="J4">
        <v>0.65</v>
      </c>
      <c r="K4">
        <v>4.1630000000000003</v>
      </c>
      <c r="L4">
        <v>1.399</v>
      </c>
      <c r="M4">
        <v>0.32700000000000001</v>
      </c>
      <c r="N4">
        <v>0.34499999999999997</v>
      </c>
      <c r="Q4">
        <f t="shared" si="2"/>
        <v>8575</v>
      </c>
      <c r="R4" s="19">
        <f t="shared" si="3"/>
        <v>273.02800000000002</v>
      </c>
      <c r="S4" s="19">
        <f t="shared" si="4"/>
        <v>55.737500000000004</v>
      </c>
      <c r="T4" s="19">
        <f t="shared" si="5"/>
        <v>356.97725000000008</v>
      </c>
      <c r="U4" s="19">
        <f t="shared" si="6"/>
        <v>119.96425000000001</v>
      </c>
      <c r="V4" s="19">
        <f t="shared" si="7"/>
        <v>28.04025</v>
      </c>
      <c r="X4" s="20"/>
      <c r="Y4" s="19"/>
    </row>
    <row r="5" spans="1:25" x14ac:dyDescent="0.25">
      <c r="A5" s="8" t="s">
        <v>125</v>
      </c>
      <c r="B5" s="14">
        <v>1971</v>
      </c>
      <c r="C5">
        <v>35</v>
      </c>
      <c r="E5">
        <v>22.65</v>
      </c>
      <c r="F5" s="18">
        <f t="shared" si="1"/>
        <v>7927.5</v>
      </c>
      <c r="I5">
        <v>2.9769999999999999</v>
      </c>
      <c r="J5">
        <v>0.52900000000000003</v>
      </c>
      <c r="K5">
        <v>4.327</v>
      </c>
      <c r="L5">
        <v>1.5389999999999999</v>
      </c>
      <c r="M5">
        <v>0.32900000000000001</v>
      </c>
      <c r="N5">
        <v>0.496</v>
      </c>
      <c r="Q5">
        <f t="shared" si="2"/>
        <v>7927.5</v>
      </c>
      <c r="R5" s="19">
        <f t="shared" si="3"/>
        <v>236.00167500000001</v>
      </c>
      <c r="S5" s="19">
        <f t="shared" si="4"/>
        <v>41.936475000000002</v>
      </c>
      <c r="T5" s="19">
        <f t="shared" si="5"/>
        <v>343.02292500000004</v>
      </c>
      <c r="U5" s="19">
        <f t="shared" si="6"/>
        <v>122.00422499999999</v>
      </c>
      <c r="V5" s="19">
        <f t="shared" si="7"/>
        <v>26.081475000000001</v>
      </c>
      <c r="X5" s="20"/>
      <c r="Y5" s="19"/>
    </row>
    <row r="6" spans="1:25" x14ac:dyDescent="0.25">
      <c r="A6" s="8" t="s">
        <v>126</v>
      </c>
      <c r="B6" s="14">
        <v>1972</v>
      </c>
      <c r="C6">
        <v>35</v>
      </c>
      <c r="E6">
        <v>24.15</v>
      </c>
      <c r="F6" s="18">
        <f t="shared" si="1"/>
        <v>8452.5</v>
      </c>
      <c r="I6">
        <v>3.5609999999999999</v>
      </c>
      <c r="J6">
        <v>0.54900000000000004</v>
      </c>
      <c r="K6">
        <v>4.33</v>
      </c>
      <c r="L6">
        <v>1.798</v>
      </c>
      <c r="M6">
        <v>0.36</v>
      </c>
      <c r="N6">
        <v>0.47199999999999998</v>
      </c>
      <c r="Q6">
        <f t="shared" si="2"/>
        <v>8452.5</v>
      </c>
      <c r="R6" s="19">
        <f t="shared" si="3"/>
        <v>300.99352500000003</v>
      </c>
      <c r="S6" s="19">
        <f t="shared" si="4"/>
        <v>46.404225000000004</v>
      </c>
      <c r="T6" s="19">
        <f t="shared" si="5"/>
        <v>365.99324999999999</v>
      </c>
      <c r="U6" s="19">
        <f t="shared" si="6"/>
        <v>151.97595000000001</v>
      </c>
      <c r="V6" s="19">
        <f t="shared" si="7"/>
        <v>30.429000000000002</v>
      </c>
      <c r="X6" s="20"/>
      <c r="Y6" s="19"/>
    </row>
    <row r="7" spans="1:25" x14ac:dyDescent="0.25">
      <c r="A7" s="8" t="s">
        <v>127</v>
      </c>
      <c r="B7" s="14">
        <v>1973</v>
      </c>
      <c r="C7">
        <v>35</v>
      </c>
      <c r="E7" s="21">
        <v>21.6</v>
      </c>
      <c r="F7" s="18">
        <f t="shared" si="1"/>
        <v>7560</v>
      </c>
      <c r="I7">
        <v>3.492</v>
      </c>
      <c r="J7">
        <v>0.378</v>
      </c>
      <c r="K7">
        <v>4.3780000000000001</v>
      </c>
      <c r="L7">
        <v>1.2170000000000001</v>
      </c>
      <c r="M7">
        <v>0.27600000000000002</v>
      </c>
      <c r="N7">
        <v>0.253</v>
      </c>
      <c r="Q7">
        <f t="shared" si="2"/>
        <v>7560</v>
      </c>
      <c r="R7" s="19">
        <f t="shared" si="3"/>
        <v>263.99520000000001</v>
      </c>
      <c r="S7" s="19">
        <f t="shared" si="4"/>
        <v>28.576799999999999</v>
      </c>
      <c r="T7" s="19">
        <f t="shared" si="5"/>
        <v>330.97680000000003</v>
      </c>
      <c r="U7" s="19">
        <f t="shared" si="6"/>
        <v>92.005200000000002</v>
      </c>
      <c r="V7" s="19">
        <f t="shared" si="7"/>
        <v>20.865600000000004</v>
      </c>
      <c r="X7" s="20"/>
      <c r="Y7" s="19"/>
    </row>
    <row r="8" spans="1:25" x14ac:dyDescent="0.25">
      <c r="A8" s="8" t="s">
        <v>128</v>
      </c>
      <c r="B8" s="14">
        <v>1974</v>
      </c>
      <c r="C8">
        <v>35</v>
      </c>
      <c r="E8">
        <v>18.46</v>
      </c>
      <c r="F8" s="18">
        <f t="shared" si="1"/>
        <v>6461</v>
      </c>
      <c r="I8">
        <v>3.7919999999999998</v>
      </c>
      <c r="J8">
        <v>0.57999999999999996</v>
      </c>
      <c r="K8">
        <v>4.7670000000000003</v>
      </c>
      <c r="L8">
        <v>1.5940000000000001</v>
      </c>
      <c r="M8">
        <v>0.3</v>
      </c>
      <c r="N8">
        <v>0.33100000000000002</v>
      </c>
      <c r="Q8">
        <f t="shared" si="2"/>
        <v>6461</v>
      </c>
      <c r="R8" s="19">
        <f t="shared" si="3"/>
        <v>245.00111999999999</v>
      </c>
      <c r="S8" s="19">
        <f t="shared" si="4"/>
        <v>37.473799999999997</v>
      </c>
      <c r="T8" s="19">
        <f t="shared" si="5"/>
        <v>307.99587000000002</v>
      </c>
      <c r="U8" s="19">
        <f t="shared" si="6"/>
        <v>102.98834000000001</v>
      </c>
      <c r="V8" s="19">
        <f t="shared" si="7"/>
        <v>19.382999999999999</v>
      </c>
      <c r="X8" s="20"/>
      <c r="Y8" s="19"/>
    </row>
    <row r="9" spans="1:25" x14ac:dyDescent="0.25">
      <c r="A9" s="8" t="s">
        <v>129</v>
      </c>
      <c r="B9" s="14">
        <v>1975</v>
      </c>
      <c r="C9">
        <v>35</v>
      </c>
      <c r="E9">
        <v>20.12</v>
      </c>
      <c r="F9" s="18">
        <f t="shared" si="1"/>
        <v>7042.0000000000009</v>
      </c>
      <c r="I9">
        <v>3.238</v>
      </c>
      <c r="J9">
        <v>0.56699999999999995</v>
      </c>
      <c r="K9">
        <v>3.82</v>
      </c>
      <c r="L9">
        <v>1.548</v>
      </c>
      <c r="M9">
        <v>0.317</v>
      </c>
      <c r="N9">
        <v>0.32100000000000001</v>
      </c>
      <c r="Q9">
        <f t="shared" si="2"/>
        <v>7042</v>
      </c>
      <c r="R9" s="19">
        <f t="shared" si="3"/>
        <v>228.01996</v>
      </c>
      <c r="S9" s="19">
        <f t="shared" si="4"/>
        <v>39.928139999999999</v>
      </c>
      <c r="T9" s="19">
        <f t="shared" si="5"/>
        <v>269.00439999999998</v>
      </c>
      <c r="U9" s="19">
        <f t="shared" si="6"/>
        <v>109.01016</v>
      </c>
      <c r="V9" s="19">
        <f t="shared" si="7"/>
        <v>22.323139999999999</v>
      </c>
      <c r="X9" s="20"/>
      <c r="Y9" s="19"/>
    </row>
    <row r="10" spans="1:25" x14ac:dyDescent="0.25">
      <c r="A10" s="8" t="s">
        <v>130</v>
      </c>
      <c r="B10" s="14">
        <v>1976</v>
      </c>
      <c r="C10">
        <v>35</v>
      </c>
      <c r="D10" s="22" t="s">
        <v>131</v>
      </c>
      <c r="E10" s="21">
        <v>31.1</v>
      </c>
      <c r="F10" s="18">
        <f t="shared" si="1"/>
        <v>10885</v>
      </c>
      <c r="G10">
        <v>0.54</v>
      </c>
      <c r="I10" s="21">
        <f>G10*(100/E10)</f>
        <v>1.7363344051446945</v>
      </c>
      <c r="J10">
        <v>0.40100000000000002</v>
      </c>
      <c r="K10" s="21">
        <v>4.2850000000000001</v>
      </c>
      <c r="L10" s="21">
        <v>1.355</v>
      </c>
      <c r="M10" s="20">
        <v>0.27</v>
      </c>
      <c r="N10">
        <v>0.433</v>
      </c>
      <c r="Q10">
        <f t="shared" si="2"/>
        <v>10885</v>
      </c>
      <c r="R10" s="19">
        <f t="shared" si="3"/>
        <v>189</v>
      </c>
      <c r="S10" s="19">
        <f t="shared" si="4"/>
        <v>43.648850000000003</v>
      </c>
      <c r="T10" s="19">
        <f t="shared" si="5"/>
        <v>466.42225000000002</v>
      </c>
      <c r="U10" s="19">
        <f t="shared" si="6"/>
        <v>147.49175</v>
      </c>
      <c r="V10" s="19">
        <f t="shared" si="7"/>
        <v>29.389500000000002</v>
      </c>
      <c r="W10" s="19"/>
      <c r="X10" s="20"/>
      <c r="Y10" s="19"/>
    </row>
    <row r="11" spans="1:25" x14ac:dyDescent="0.25">
      <c r="A11" s="8" t="s">
        <v>132</v>
      </c>
      <c r="B11" s="14">
        <v>1977</v>
      </c>
      <c r="C11">
        <v>35</v>
      </c>
      <c r="D11" s="22" t="s">
        <v>133</v>
      </c>
      <c r="E11">
        <v>22.29</v>
      </c>
      <c r="F11" s="18">
        <f t="shared" si="1"/>
        <v>7801.5</v>
      </c>
      <c r="G11">
        <v>0.82</v>
      </c>
      <c r="I11" s="21">
        <f t="shared" ref="I11:I41" si="8">G11*(100/E11)</f>
        <v>3.6787797218483629</v>
      </c>
      <c r="J11">
        <v>0.56599999999999995</v>
      </c>
      <c r="K11">
        <v>4.92</v>
      </c>
      <c r="L11">
        <v>1.44</v>
      </c>
      <c r="M11">
        <v>0.41099999999999998</v>
      </c>
      <c r="N11">
        <v>0.318</v>
      </c>
      <c r="Q11">
        <f t="shared" si="2"/>
        <v>7801.5</v>
      </c>
      <c r="R11" s="19">
        <f t="shared" si="3"/>
        <v>287.00000000000006</v>
      </c>
      <c r="S11" s="19">
        <f t="shared" si="4"/>
        <v>44.156489999999998</v>
      </c>
      <c r="T11" s="19">
        <f t="shared" si="5"/>
        <v>383.8338</v>
      </c>
      <c r="U11" s="19">
        <f t="shared" si="6"/>
        <v>112.3416</v>
      </c>
      <c r="V11" s="19">
        <f t="shared" si="7"/>
        <v>32.064164999999996</v>
      </c>
      <c r="X11" s="20"/>
      <c r="Y11" s="19"/>
    </row>
    <row r="12" spans="1:25" x14ac:dyDescent="0.25">
      <c r="A12" s="8" t="s">
        <v>134</v>
      </c>
      <c r="B12" s="14">
        <v>1978</v>
      </c>
      <c r="C12">
        <v>35</v>
      </c>
      <c r="D12" s="22" t="s">
        <v>135</v>
      </c>
      <c r="E12">
        <v>24.76</v>
      </c>
      <c r="F12" s="18">
        <f t="shared" si="1"/>
        <v>8666</v>
      </c>
      <c r="G12">
        <v>0.81</v>
      </c>
      <c r="I12" s="21">
        <f t="shared" si="8"/>
        <v>3.2714054927302101</v>
      </c>
      <c r="J12">
        <v>0.50900000000000001</v>
      </c>
      <c r="K12">
        <v>4.28</v>
      </c>
      <c r="L12">
        <v>1.72</v>
      </c>
      <c r="M12">
        <v>0.30599999999999999</v>
      </c>
      <c r="N12">
        <v>0.41799999999999998</v>
      </c>
      <c r="Q12">
        <f t="shared" si="2"/>
        <v>8666</v>
      </c>
      <c r="R12" s="19">
        <f t="shared" si="3"/>
        <v>283.5</v>
      </c>
      <c r="S12" s="19">
        <f t="shared" si="4"/>
        <v>44.109939999999995</v>
      </c>
      <c r="T12" s="19">
        <f t="shared" si="5"/>
        <v>370.90480000000002</v>
      </c>
      <c r="U12" s="19">
        <f t="shared" si="6"/>
        <v>149.05520000000001</v>
      </c>
      <c r="V12" s="19">
        <f t="shared" si="7"/>
        <v>26.517959999999999</v>
      </c>
      <c r="X12" s="20"/>
      <c r="Y12" s="19"/>
    </row>
    <row r="13" spans="1:25" x14ac:dyDescent="0.25">
      <c r="A13" s="8" t="s">
        <v>136</v>
      </c>
      <c r="B13" s="14">
        <v>1979</v>
      </c>
      <c r="C13">
        <v>35</v>
      </c>
      <c r="D13" s="22" t="s">
        <v>137</v>
      </c>
      <c r="E13">
        <v>19.22</v>
      </c>
      <c r="F13" s="18">
        <f t="shared" si="1"/>
        <v>6726.9999999999991</v>
      </c>
      <c r="G13" s="21">
        <v>0.6</v>
      </c>
      <c r="H13" s="21"/>
      <c r="I13" s="21">
        <f t="shared" si="8"/>
        <v>3.1217481789802286</v>
      </c>
      <c r="J13">
        <v>0.443</v>
      </c>
      <c r="K13">
        <v>4.24</v>
      </c>
      <c r="L13">
        <v>1.29</v>
      </c>
      <c r="M13">
        <v>0.26600000000000001</v>
      </c>
      <c r="N13">
        <v>0.32500000000000001</v>
      </c>
      <c r="Q13">
        <f t="shared" si="2"/>
        <v>6727</v>
      </c>
      <c r="R13" s="19">
        <f t="shared" si="3"/>
        <v>209.99999999999997</v>
      </c>
      <c r="S13" s="19">
        <f t="shared" si="4"/>
        <v>29.800610000000002</v>
      </c>
      <c r="T13" s="19">
        <f t="shared" si="5"/>
        <v>285.22480000000002</v>
      </c>
      <c r="U13" s="19">
        <f t="shared" si="6"/>
        <v>86.778300000000002</v>
      </c>
      <c r="V13" s="19">
        <f t="shared" si="7"/>
        <v>17.893820000000002</v>
      </c>
      <c r="X13" s="20"/>
      <c r="Y13" s="19"/>
    </row>
    <row r="14" spans="1:25" x14ac:dyDescent="0.25">
      <c r="A14" s="8" t="s">
        <v>138</v>
      </c>
      <c r="B14" s="14">
        <v>1980</v>
      </c>
      <c r="C14">
        <v>35</v>
      </c>
      <c r="D14" s="22" t="s">
        <v>139</v>
      </c>
      <c r="E14">
        <v>21.69</v>
      </c>
      <c r="F14" s="18">
        <f t="shared" si="1"/>
        <v>7591.5000000000009</v>
      </c>
      <c r="G14">
        <v>0.74</v>
      </c>
      <c r="I14" s="21">
        <f t="shared" si="8"/>
        <v>3.4117104656523742</v>
      </c>
      <c r="J14" s="20">
        <v>0.46</v>
      </c>
      <c r="K14">
        <v>4.6399999999999997</v>
      </c>
      <c r="L14">
        <v>1.46</v>
      </c>
      <c r="M14">
        <v>0.27600000000000002</v>
      </c>
      <c r="N14">
        <v>0.28199999999999997</v>
      </c>
      <c r="Q14">
        <f t="shared" si="2"/>
        <v>7591.5</v>
      </c>
      <c r="R14" s="19">
        <f t="shared" si="3"/>
        <v>259</v>
      </c>
      <c r="S14" s="19">
        <f t="shared" si="4"/>
        <v>34.920900000000003</v>
      </c>
      <c r="T14" s="19">
        <f t="shared" si="5"/>
        <v>352.24559999999997</v>
      </c>
      <c r="U14" s="19">
        <f t="shared" si="6"/>
        <v>110.83590000000001</v>
      </c>
      <c r="V14" s="19">
        <f t="shared" si="7"/>
        <v>20.952540000000003</v>
      </c>
      <c r="X14" s="20"/>
      <c r="Y14" s="19"/>
    </row>
    <row r="15" spans="1:25" x14ac:dyDescent="0.25">
      <c r="A15" s="8" t="s">
        <v>140</v>
      </c>
      <c r="B15" s="14">
        <v>1981</v>
      </c>
      <c r="C15">
        <v>35</v>
      </c>
      <c r="D15" s="23">
        <v>29474</v>
      </c>
      <c r="E15">
        <v>21.24</v>
      </c>
      <c r="F15" s="18">
        <f t="shared" si="1"/>
        <v>7434</v>
      </c>
      <c r="G15">
        <v>0.68</v>
      </c>
      <c r="I15" s="21">
        <f t="shared" si="8"/>
        <v>3.2015065913371004</v>
      </c>
      <c r="J15" s="20">
        <v>0.53</v>
      </c>
      <c r="K15">
        <v>4.01</v>
      </c>
      <c r="L15" s="21">
        <v>1.3</v>
      </c>
      <c r="M15">
        <v>0.27400000000000002</v>
      </c>
      <c r="N15">
        <v>0.218</v>
      </c>
      <c r="Q15">
        <f t="shared" si="2"/>
        <v>7434</v>
      </c>
      <c r="R15" s="19">
        <f t="shared" si="3"/>
        <v>238.00000000000003</v>
      </c>
      <c r="S15" s="19">
        <f t="shared" si="4"/>
        <v>39.400199999999998</v>
      </c>
      <c r="T15" s="19">
        <f t="shared" si="5"/>
        <v>298.10340000000002</v>
      </c>
      <c r="U15" s="19">
        <f t="shared" si="6"/>
        <v>96.64200000000001</v>
      </c>
      <c r="V15" s="19">
        <f t="shared" si="7"/>
        <v>20.369160000000001</v>
      </c>
      <c r="X15" s="20"/>
      <c r="Y15" s="19"/>
    </row>
    <row r="16" spans="1:25" x14ac:dyDescent="0.25">
      <c r="A16" s="8" t="s">
        <v>141</v>
      </c>
      <c r="B16" s="14">
        <v>1982</v>
      </c>
      <c r="C16">
        <v>35</v>
      </c>
      <c r="D16" s="22" t="s">
        <v>142</v>
      </c>
      <c r="E16" s="21">
        <v>22.5</v>
      </c>
      <c r="F16" s="18">
        <f t="shared" si="1"/>
        <v>7875</v>
      </c>
      <c r="G16">
        <v>0.78</v>
      </c>
      <c r="I16" s="21">
        <f t="shared" si="8"/>
        <v>3.4666666666666668</v>
      </c>
      <c r="J16">
        <v>0.73099999999999998</v>
      </c>
      <c r="K16">
        <v>5.21</v>
      </c>
      <c r="L16">
        <v>1.94</v>
      </c>
      <c r="M16">
        <v>0.34599999999999997</v>
      </c>
      <c r="N16">
        <v>0.29399999999999998</v>
      </c>
      <c r="Q16">
        <f t="shared" si="2"/>
        <v>7875</v>
      </c>
      <c r="R16" s="19">
        <f t="shared" si="3"/>
        <v>273</v>
      </c>
      <c r="S16" s="19">
        <f t="shared" si="4"/>
        <v>57.566250000000004</v>
      </c>
      <c r="T16" s="19">
        <f t="shared" si="5"/>
        <v>410.28750000000002</v>
      </c>
      <c r="U16" s="19">
        <f t="shared" si="6"/>
        <v>152.77500000000001</v>
      </c>
      <c r="V16" s="19">
        <f t="shared" si="7"/>
        <v>27.247500000000002</v>
      </c>
      <c r="X16" s="20"/>
      <c r="Y16" s="19"/>
    </row>
    <row r="17" spans="1:25" x14ac:dyDescent="0.25">
      <c r="A17" s="8" t="s">
        <v>143</v>
      </c>
      <c r="B17" s="14">
        <v>1983</v>
      </c>
      <c r="C17">
        <v>35</v>
      </c>
      <c r="D17" s="22" t="s">
        <v>144</v>
      </c>
      <c r="E17">
        <v>20.69</v>
      </c>
      <c r="F17" s="18">
        <f t="shared" si="1"/>
        <v>7241.5000000000009</v>
      </c>
      <c r="G17">
        <v>0.66</v>
      </c>
      <c r="I17" s="21">
        <f t="shared" si="8"/>
        <v>3.1899468342194295</v>
      </c>
      <c r="J17">
        <v>0.59499999999999997</v>
      </c>
      <c r="K17">
        <v>4.82</v>
      </c>
      <c r="L17">
        <v>1.68</v>
      </c>
      <c r="M17">
        <v>0.29399999999999998</v>
      </c>
      <c r="N17">
        <v>0.27100000000000002</v>
      </c>
      <c r="Q17">
        <f t="shared" si="2"/>
        <v>7241.5</v>
      </c>
      <c r="R17" s="19">
        <f t="shared" si="3"/>
        <v>231</v>
      </c>
      <c r="S17" s="19">
        <f t="shared" si="4"/>
        <v>43.086925000000001</v>
      </c>
      <c r="T17" s="19">
        <f t="shared" si="5"/>
        <v>349.0403</v>
      </c>
      <c r="U17" s="19">
        <f t="shared" si="6"/>
        <v>121.65719999999999</v>
      </c>
      <c r="V17" s="19">
        <f t="shared" si="7"/>
        <v>21.290009999999999</v>
      </c>
      <c r="X17" s="20"/>
      <c r="Y17" s="19"/>
    </row>
    <row r="18" spans="1:25" x14ac:dyDescent="0.25">
      <c r="A18" s="8" t="s">
        <v>145</v>
      </c>
      <c r="B18" s="14">
        <v>1984</v>
      </c>
      <c r="C18">
        <v>35</v>
      </c>
      <c r="D18" s="23">
        <v>30567</v>
      </c>
      <c r="E18">
        <v>21.45</v>
      </c>
      <c r="F18" s="18">
        <f t="shared" si="1"/>
        <v>7507.5</v>
      </c>
      <c r="G18">
        <v>0.72</v>
      </c>
      <c r="I18" s="21">
        <f t="shared" si="8"/>
        <v>3.3566433566433567</v>
      </c>
      <c r="J18">
        <v>0.66300000000000003</v>
      </c>
      <c r="K18">
        <v>4.4800000000000004</v>
      </c>
      <c r="L18">
        <v>1.76</v>
      </c>
      <c r="M18">
        <v>0.29299999999999998</v>
      </c>
      <c r="N18" s="20">
        <v>0.3</v>
      </c>
      <c r="O18" s="20"/>
      <c r="Q18">
        <f t="shared" si="2"/>
        <v>7507.5</v>
      </c>
      <c r="R18" s="19">
        <f t="shared" si="3"/>
        <v>252</v>
      </c>
      <c r="S18" s="19">
        <f t="shared" si="4"/>
        <v>49.774724999999997</v>
      </c>
      <c r="T18" s="19">
        <f t="shared" si="5"/>
        <v>336.33600000000007</v>
      </c>
      <c r="U18" s="19">
        <f t="shared" si="6"/>
        <v>132.13200000000001</v>
      </c>
      <c r="V18" s="19">
        <f t="shared" si="7"/>
        <v>21.996974999999999</v>
      </c>
      <c r="X18" s="20"/>
      <c r="Y18" s="19"/>
    </row>
    <row r="19" spans="1:25" x14ac:dyDescent="0.25">
      <c r="A19" s="8" t="s">
        <v>146</v>
      </c>
      <c r="B19" s="14">
        <v>1985</v>
      </c>
      <c r="C19">
        <v>35</v>
      </c>
      <c r="D19" s="22" t="s">
        <v>147</v>
      </c>
      <c r="E19">
        <v>21.68</v>
      </c>
      <c r="F19" s="18">
        <f t="shared" si="1"/>
        <v>7587.9999999999991</v>
      </c>
      <c r="G19">
        <v>0.73</v>
      </c>
      <c r="I19" s="21">
        <f t="shared" si="8"/>
        <v>3.3671586715867159</v>
      </c>
      <c r="J19">
        <v>0.58399999999999996</v>
      </c>
      <c r="K19" s="21">
        <v>5</v>
      </c>
      <c r="L19">
        <v>1.98</v>
      </c>
      <c r="M19">
        <v>0.32200000000000001</v>
      </c>
      <c r="N19">
        <v>0.30499999999999999</v>
      </c>
      <c r="Q19">
        <f t="shared" si="2"/>
        <v>7588</v>
      </c>
      <c r="R19" s="19">
        <f t="shared" si="3"/>
        <v>255.5</v>
      </c>
      <c r="S19" s="19">
        <f t="shared" si="4"/>
        <v>44.313919999999996</v>
      </c>
      <c r="T19" s="19">
        <f t="shared" si="5"/>
        <v>379.40000000000003</v>
      </c>
      <c r="U19" s="19">
        <f t="shared" si="6"/>
        <v>150.2424</v>
      </c>
      <c r="V19" s="19">
        <f t="shared" si="7"/>
        <v>24.433360000000004</v>
      </c>
      <c r="X19" s="20"/>
      <c r="Y19" s="19"/>
    </row>
    <row r="20" spans="1:25" x14ac:dyDescent="0.25">
      <c r="A20" s="8" t="s">
        <v>148</v>
      </c>
      <c r="B20" s="14">
        <v>1986</v>
      </c>
      <c r="C20">
        <v>35</v>
      </c>
      <c r="D20" s="22" t="s">
        <v>149</v>
      </c>
      <c r="E20">
        <v>20.59</v>
      </c>
      <c r="F20" s="18">
        <f t="shared" si="1"/>
        <v>7206.5</v>
      </c>
      <c r="G20">
        <v>0.75</v>
      </c>
      <c r="I20" s="21">
        <f t="shared" si="8"/>
        <v>3.6425449247207382</v>
      </c>
      <c r="J20">
        <v>0.505</v>
      </c>
      <c r="K20">
        <v>5.22</v>
      </c>
      <c r="L20">
        <v>1.47</v>
      </c>
      <c r="M20" s="20">
        <v>0.27</v>
      </c>
      <c r="N20">
        <v>0.254</v>
      </c>
      <c r="Q20">
        <f t="shared" si="2"/>
        <v>7206.5</v>
      </c>
      <c r="R20" s="19">
        <f t="shared" si="3"/>
        <v>262.5</v>
      </c>
      <c r="S20" s="19">
        <f t="shared" si="4"/>
        <v>36.392825000000002</v>
      </c>
      <c r="T20" s="19">
        <f t="shared" si="5"/>
        <v>376.17930000000001</v>
      </c>
      <c r="U20" s="19">
        <f t="shared" si="6"/>
        <v>105.93555000000001</v>
      </c>
      <c r="V20" s="19">
        <f t="shared" si="7"/>
        <v>19.457550000000001</v>
      </c>
      <c r="X20" s="20"/>
      <c r="Y20" s="19"/>
    </row>
    <row r="21" spans="1:25" x14ac:dyDescent="0.25">
      <c r="A21" s="8" t="s">
        <v>150</v>
      </c>
      <c r="B21" s="14">
        <v>1987</v>
      </c>
      <c r="C21">
        <v>35</v>
      </c>
      <c r="D21" s="23">
        <v>31693</v>
      </c>
      <c r="E21">
        <v>21.18</v>
      </c>
      <c r="F21" s="18">
        <f t="shared" si="1"/>
        <v>7412.9999999999991</v>
      </c>
      <c r="G21">
        <v>0.65</v>
      </c>
      <c r="I21" s="21">
        <f t="shared" si="8"/>
        <v>3.0689329556185085</v>
      </c>
      <c r="J21">
        <v>0.47499999999999998</v>
      </c>
      <c r="K21">
        <v>4.4800000000000004</v>
      </c>
      <c r="L21">
        <v>1.51</v>
      </c>
      <c r="M21">
        <v>0.27200000000000002</v>
      </c>
      <c r="N21" s="20">
        <v>0.16</v>
      </c>
      <c r="O21" s="20"/>
      <c r="Q21">
        <f t="shared" si="2"/>
        <v>7413</v>
      </c>
      <c r="R21" s="19">
        <f t="shared" si="3"/>
        <v>227.50000000000003</v>
      </c>
      <c r="S21" s="19">
        <f t="shared" si="4"/>
        <v>35.211749999999995</v>
      </c>
      <c r="T21" s="19">
        <f t="shared" si="5"/>
        <v>332.10240000000005</v>
      </c>
      <c r="U21" s="19">
        <f t="shared" si="6"/>
        <v>111.93629999999999</v>
      </c>
      <c r="V21" s="19">
        <f t="shared" si="7"/>
        <v>20.163360000000004</v>
      </c>
      <c r="X21" s="20"/>
      <c r="Y21" s="19"/>
    </row>
    <row r="22" spans="1:25" x14ac:dyDescent="0.25">
      <c r="A22" s="8" t="s">
        <v>151</v>
      </c>
      <c r="B22" s="14">
        <v>1988</v>
      </c>
      <c r="C22">
        <v>35</v>
      </c>
      <c r="D22" s="23">
        <v>32049</v>
      </c>
      <c r="E22" s="21">
        <v>19.8</v>
      </c>
      <c r="F22" s="18">
        <f t="shared" si="1"/>
        <v>6930</v>
      </c>
      <c r="G22">
        <v>0.61</v>
      </c>
      <c r="I22" s="21">
        <f t="shared" si="8"/>
        <v>3.0808080808080804</v>
      </c>
      <c r="J22">
        <v>0.40799999999999997</v>
      </c>
      <c r="K22">
        <v>3.16</v>
      </c>
      <c r="L22" s="21">
        <v>1.6</v>
      </c>
      <c r="M22">
        <v>0.23799999999999999</v>
      </c>
      <c r="N22">
        <v>0.156</v>
      </c>
      <c r="Q22">
        <f t="shared" si="2"/>
        <v>6930</v>
      </c>
      <c r="R22" s="19">
        <f t="shared" si="3"/>
        <v>213.49999999999997</v>
      </c>
      <c r="S22" s="19">
        <f t="shared" si="4"/>
        <v>28.274399999999996</v>
      </c>
      <c r="T22" s="19">
        <f t="shared" si="5"/>
        <v>218.988</v>
      </c>
      <c r="U22" s="19">
        <f t="shared" si="6"/>
        <v>110.88</v>
      </c>
      <c r="V22" s="19">
        <f t="shared" si="7"/>
        <v>16.493400000000001</v>
      </c>
      <c r="X22" s="20"/>
      <c r="Y22" s="19"/>
    </row>
    <row r="23" spans="1:25" x14ac:dyDescent="0.25">
      <c r="A23" s="8" t="s">
        <v>152</v>
      </c>
      <c r="B23" s="14">
        <v>1989</v>
      </c>
      <c r="C23">
        <v>35</v>
      </c>
      <c r="D23" s="23">
        <v>32430</v>
      </c>
      <c r="E23">
        <v>19.23</v>
      </c>
      <c r="F23" s="18">
        <f t="shared" si="1"/>
        <v>6730.5000000000009</v>
      </c>
      <c r="G23">
        <v>0.64</v>
      </c>
      <c r="I23" s="21">
        <f t="shared" si="8"/>
        <v>3.3281331253250133</v>
      </c>
      <c r="J23">
        <v>0.50800000000000001</v>
      </c>
      <c r="K23">
        <v>3.62</v>
      </c>
      <c r="L23">
        <v>1.28</v>
      </c>
      <c r="M23" s="20">
        <v>0.25</v>
      </c>
      <c r="N23">
        <v>0.23200000000000001</v>
      </c>
      <c r="Q23">
        <f t="shared" si="2"/>
        <v>6730.5</v>
      </c>
      <c r="R23" s="19">
        <f t="shared" si="3"/>
        <v>224</v>
      </c>
      <c r="S23" s="19">
        <f t="shared" si="4"/>
        <v>34.190939999999998</v>
      </c>
      <c r="T23" s="19">
        <f t="shared" si="5"/>
        <v>243.64410000000001</v>
      </c>
      <c r="U23" s="19">
        <f t="shared" si="6"/>
        <v>86.150400000000005</v>
      </c>
      <c r="V23" s="19">
        <f t="shared" si="7"/>
        <v>16.826250000000002</v>
      </c>
      <c r="X23" s="20"/>
      <c r="Y23" s="19"/>
    </row>
    <row r="24" spans="1:25" x14ac:dyDescent="0.25">
      <c r="A24" s="8" t="s">
        <v>153</v>
      </c>
      <c r="B24" s="14">
        <v>1990</v>
      </c>
      <c r="C24">
        <v>35</v>
      </c>
      <c r="D24" s="24" t="s">
        <v>154</v>
      </c>
      <c r="E24">
        <v>23.32</v>
      </c>
      <c r="F24" s="18">
        <f t="shared" si="1"/>
        <v>8162.0000000000009</v>
      </c>
      <c r="G24">
        <v>0.83</v>
      </c>
      <c r="I24" s="21">
        <f t="shared" si="8"/>
        <v>3.5591766723842193</v>
      </c>
      <c r="J24">
        <v>0.59599999999999997</v>
      </c>
      <c r="K24">
        <v>5.14</v>
      </c>
      <c r="L24" s="21">
        <v>1.6</v>
      </c>
      <c r="M24">
        <v>0.28199999999999997</v>
      </c>
      <c r="N24">
        <v>0.216</v>
      </c>
      <c r="Q24">
        <f t="shared" si="2"/>
        <v>8162</v>
      </c>
      <c r="R24" s="19">
        <f t="shared" si="3"/>
        <v>290.49999999999994</v>
      </c>
      <c r="S24" s="19">
        <f t="shared" si="4"/>
        <v>48.645519999999998</v>
      </c>
      <c r="T24" s="19">
        <f t="shared" si="5"/>
        <v>419.52680000000004</v>
      </c>
      <c r="U24" s="19">
        <f t="shared" si="6"/>
        <v>130.59200000000001</v>
      </c>
      <c r="V24" s="19">
        <f t="shared" si="7"/>
        <v>23.016839999999998</v>
      </c>
      <c r="X24" s="20"/>
      <c r="Y24" s="19"/>
    </row>
    <row r="25" spans="1:25" x14ac:dyDescent="0.25">
      <c r="A25" s="8" t="s">
        <v>155</v>
      </c>
      <c r="B25" s="14">
        <v>1991</v>
      </c>
      <c r="C25">
        <v>35</v>
      </c>
      <c r="D25" s="23">
        <v>33155</v>
      </c>
      <c r="E25">
        <v>28.75</v>
      </c>
      <c r="F25" s="18">
        <f t="shared" si="1"/>
        <v>10062.5</v>
      </c>
      <c r="G25" s="21">
        <v>0.8</v>
      </c>
      <c r="H25" s="19">
        <v>32.865000000000002</v>
      </c>
      <c r="I25" s="21">
        <f t="shared" si="8"/>
        <v>2.7826086956521738</v>
      </c>
      <c r="J25">
        <v>0.56799999999999995</v>
      </c>
      <c r="K25">
        <v>4.75</v>
      </c>
      <c r="L25">
        <v>1.72</v>
      </c>
      <c r="M25">
        <v>0.315</v>
      </c>
      <c r="N25">
        <v>0.38400000000000001</v>
      </c>
      <c r="Q25">
        <f t="shared" si="2"/>
        <v>10062.5</v>
      </c>
      <c r="R25" s="19">
        <f t="shared" si="3"/>
        <v>280</v>
      </c>
      <c r="S25" s="19">
        <f t="shared" si="4"/>
        <v>57.154999999999994</v>
      </c>
      <c r="T25" s="19">
        <f t="shared" si="5"/>
        <v>477.96875</v>
      </c>
      <c r="U25" s="19">
        <f t="shared" si="6"/>
        <v>173.07500000000002</v>
      </c>
      <c r="V25" s="19">
        <f t="shared" si="7"/>
        <v>31.696875000000002</v>
      </c>
      <c r="X25" s="20"/>
      <c r="Y25" s="19"/>
    </row>
    <row r="26" spans="1:25" x14ac:dyDescent="0.25">
      <c r="A26" s="8" t="s">
        <v>156</v>
      </c>
      <c r="B26" s="14">
        <v>1992</v>
      </c>
      <c r="C26">
        <v>35</v>
      </c>
      <c r="D26" s="23">
        <v>33521</v>
      </c>
      <c r="E26" s="21">
        <v>21.3</v>
      </c>
      <c r="F26" s="18">
        <f t="shared" si="1"/>
        <v>7455</v>
      </c>
      <c r="G26">
        <v>0.55000000000000004</v>
      </c>
      <c r="H26" s="19">
        <v>37.78</v>
      </c>
      <c r="I26" s="21">
        <f t="shared" si="8"/>
        <v>2.5821596244131459</v>
      </c>
      <c r="J26">
        <v>0.70399999999999996</v>
      </c>
      <c r="K26">
        <v>5.24</v>
      </c>
      <c r="L26" s="21">
        <v>1.7</v>
      </c>
      <c r="M26" s="20">
        <v>0.37</v>
      </c>
      <c r="N26">
        <v>0.35399999999999998</v>
      </c>
      <c r="Q26">
        <f t="shared" si="2"/>
        <v>7455</v>
      </c>
      <c r="R26" s="19">
        <f t="shared" si="3"/>
        <v>192.50000000000003</v>
      </c>
      <c r="S26" s="19">
        <f t="shared" si="4"/>
        <v>52.483199999999997</v>
      </c>
      <c r="T26" s="19">
        <f t="shared" si="5"/>
        <v>390.64200000000005</v>
      </c>
      <c r="U26" s="19">
        <f t="shared" si="6"/>
        <v>126.735</v>
      </c>
      <c r="V26" s="19">
        <f t="shared" si="7"/>
        <v>27.583500000000001</v>
      </c>
      <c r="X26" s="20"/>
      <c r="Y26" s="19"/>
    </row>
    <row r="27" spans="1:25" x14ac:dyDescent="0.25">
      <c r="A27" s="8" t="s">
        <v>157</v>
      </c>
      <c r="B27" s="14">
        <v>1993</v>
      </c>
      <c r="C27">
        <v>35</v>
      </c>
      <c r="D27" s="23">
        <v>33891</v>
      </c>
      <c r="E27">
        <v>25.91</v>
      </c>
      <c r="F27" s="18">
        <f t="shared" si="1"/>
        <v>9068.5</v>
      </c>
      <c r="G27">
        <v>0.82</v>
      </c>
      <c r="H27" s="19">
        <v>39.045000000000002</v>
      </c>
      <c r="I27" s="21">
        <f t="shared" si="8"/>
        <v>3.1648012350443842</v>
      </c>
      <c r="J27">
        <v>0.60399999999999998</v>
      </c>
      <c r="K27">
        <v>4.72</v>
      </c>
      <c r="L27">
        <v>1.66</v>
      </c>
      <c r="M27">
        <v>0.28399999999999997</v>
      </c>
      <c r="N27">
        <v>0.41899999999999998</v>
      </c>
      <c r="Q27">
        <f t="shared" si="2"/>
        <v>9068.5</v>
      </c>
      <c r="R27" s="19">
        <f t="shared" si="3"/>
        <v>286.99999999999994</v>
      </c>
      <c r="S27" s="19">
        <f t="shared" si="4"/>
        <v>54.773739999999997</v>
      </c>
      <c r="T27" s="19">
        <f t="shared" si="5"/>
        <v>428.03320000000002</v>
      </c>
      <c r="U27" s="19">
        <f t="shared" si="6"/>
        <v>150.53709999999998</v>
      </c>
      <c r="V27" s="19">
        <f t="shared" si="7"/>
        <v>25.754539999999999</v>
      </c>
      <c r="X27" s="20"/>
      <c r="Y27" s="19"/>
    </row>
    <row r="28" spans="1:25" x14ac:dyDescent="0.25">
      <c r="A28" s="8" t="s">
        <v>158</v>
      </c>
      <c r="B28" s="14">
        <v>1994</v>
      </c>
      <c r="C28">
        <v>35</v>
      </c>
      <c r="D28" s="23">
        <v>34268</v>
      </c>
      <c r="E28">
        <v>20.53</v>
      </c>
      <c r="F28" s="18">
        <f t="shared" si="1"/>
        <v>7185.5000000000009</v>
      </c>
      <c r="G28">
        <v>0.56000000000000005</v>
      </c>
      <c r="H28" s="19">
        <v>37.034999999999997</v>
      </c>
      <c r="I28" s="21">
        <f t="shared" si="8"/>
        <v>2.7277155382367271</v>
      </c>
      <c r="J28" s="20">
        <v>0.65</v>
      </c>
      <c r="K28">
        <v>4.29</v>
      </c>
      <c r="L28">
        <v>1.78</v>
      </c>
      <c r="M28">
        <v>0.374</v>
      </c>
      <c r="N28">
        <v>0.39200000000000002</v>
      </c>
      <c r="Q28">
        <f t="shared" si="2"/>
        <v>7185.5</v>
      </c>
      <c r="R28" s="19">
        <f t="shared" si="3"/>
        <v>196.00000000000003</v>
      </c>
      <c r="S28" s="19">
        <f t="shared" si="4"/>
        <v>46.705750000000002</v>
      </c>
      <c r="T28" s="19">
        <f t="shared" si="5"/>
        <v>308.25795000000005</v>
      </c>
      <c r="U28" s="19">
        <f t="shared" si="6"/>
        <v>127.90190000000001</v>
      </c>
      <c r="V28" s="19">
        <f t="shared" si="7"/>
        <v>26.87377</v>
      </c>
      <c r="X28" s="20"/>
      <c r="Y28" s="19"/>
    </row>
    <row r="29" spans="1:25" x14ac:dyDescent="0.25">
      <c r="A29" s="8" t="s">
        <v>159</v>
      </c>
      <c r="B29" s="14">
        <v>1995</v>
      </c>
      <c r="C29">
        <v>35</v>
      </c>
      <c r="D29" s="23">
        <v>34620</v>
      </c>
      <c r="E29">
        <v>25.04</v>
      </c>
      <c r="F29" s="18">
        <f t="shared" si="1"/>
        <v>8764</v>
      </c>
      <c r="G29">
        <v>0.78</v>
      </c>
      <c r="H29" s="19">
        <v>38.305</v>
      </c>
      <c r="I29" s="21">
        <f t="shared" si="8"/>
        <v>3.1150159744408947</v>
      </c>
      <c r="J29">
        <v>0.75900000000000001</v>
      </c>
      <c r="K29">
        <v>4.59</v>
      </c>
      <c r="L29">
        <v>1.58</v>
      </c>
      <c r="M29">
        <v>0.32900000000000001</v>
      </c>
      <c r="N29">
        <v>0.35399999999999998</v>
      </c>
      <c r="Q29">
        <f t="shared" si="2"/>
        <v>8764</v>
      </c>
      <c r="R29" s="19">
        <f t="shared" si="3"/>
        <v>273</v>
      </c>
      <c r="S29" s="19">
        <f t="shared" si="4"/>
        <v>66.51876</v>
      </c>
      <c r="T29" s="19">
        <f t="shared" si="5"/>
        <v>402.26760000000002</v>
      </c>
      <c r="U29" s="19">
        <f t="shared" si="6"/>
        <v>138.47120000000001</v>
      </c>
      <c r="V29" s="19">
        <f t="shared" si="7"/>
        <v>28.833560000000002</v>
      </c>
      <c r="X29" s="20"/>
      <c r="Y29" s="19"/>
    </row>
    <row r="30" spans="1:25" x14ac:dyDescent="0.25">
      <c r="A30" s="8" t="s">
        <v>160</v>
      </c>
      <c r="B30" s="14">
        <v>1996</v>
      </c>
      <c r="C30">
        <v>35</v>
      </c>
      <c r="D30" s="23">
        <v>34968</v>
      </c>
      <c r="E30">
        <v>26.56</v>
      </c>
      <c r="F30" s="18">
        <f t="shared" si="1"/>
        <v>9296</v>
      </c>
      <c r="G30">
        <v>0.82</v>
      </c>
      <c r="H30" s="19">
        <v>37.03</v>
      </c>
      <c r="I30" s="21">
        <f t="shared" si="8"/>
        <v>3.0873493975903612</v>
      </c>
      <c r="J30">
        <v>0.71499999999999997</v>
      </c>
      <c r="K30">
        <v>4.28</v>
      </c>
      <c r="L30">
        <v>1.86</v>
      </c>
      <c r="M30">
        <v>0.41199999999999998</v>
      </c>
      <c r="N30">
        <v>0.41799999999999998</v>
      </c>
      <c r="Q30">
        <f t="shared" si="2"/>
        <v>9296</v>
      </c>
      <c r="R30" s="19">
        <f t="shared" si="3"/>
        <v>286.99999999999994</v>
      </c>
      <c r="S30" s="19">
        <f t="shared" si="4"/>
        <v>66.466399999999993</v>
      </c>
      <c r="T30" s="19">
        <f t="shared" si="5"/>
        <v>397.86880000000008</v>
      </c>
      <c r="U30" s="19">
        <f t="shared" si="6"/>
        <v>172.90560000000002</v>
      </c>
      <c r="V30" s="19">
        <f t="shared" si="7"/>
        <v>38.299520000000001</v>
      </c>
      <c r="X30" s="20"/>
      <c r="Y30" s="19"/>
    </row>
    <row r="31" spans="1:25" x14ac:dyDescent="0.25">
      <c r="A31" s="8" t="s">
        <v>161</v>
      </c>
      <c r="B31" s="14">
        <v>1997</v>
      </c>
      <c r="C31">
        <v>35</v>
      </c>
      <c r="D31" s="23">
        <v>35335</v>
      </c>
      <c r="E31">
        <v>25.46</v>
      </c>
      <c r="F31" s="18">
        <f t="shared" si="1"/>
        <v>8911</v>
      </c>
      <c r="G31">
        <v>0.92</v>
      </c>
      <c r="H31" s="19">
        <v>33.045000000000002</v>
      </c>
      <c r="I31" s="21">
        <f t="shared" si="8"/>
        <v>3.6135113904163392</v>
      </c>
      <c r="J31">
        <v>0.42399999999999999</v>
      </c>
      <c r="K31" s="21">
        <v>4.2</v>
      </c>
      <c r="L31" s="21">
        <v>2.2999999999999998</v>
      </c>
      <c r="M31">
        <v>0.38400000000000001</v>
      </c>
      <c r="N31">
        <v>0.44600000000000001</v>
      </c>
      <c r="Q31">
        <f t="shared" si="2"/>
        <v>8911</v>
      </c>
      <c r="R31" s="19">
        <f t="shared" si="3"/>
        <v>322</v>
      </c>
      <c r="S31" s="19">
        <f t="shared" si="4"/>
        <v>37.782640000000001</v>
      </c>
      <c r="T31" s="19">
        <f t="shared" si="5"/>
        <v>374.26200000000006</v>
      </c>
      <c r="U31" s="19">
        <f t="shared" si="6"/>
        <v>204.953</v>
      </c>
      <c r="V31" s="19">
        <f t="shared" si="7"/>
        <v>34.218240000000002</v>
      </c>
      <c r="X31" s="20"/>
      <c r="Y31" s="19"/>
    </row>
    <row r="32" spans="1:25" x14ac:dyDescent="0.25">
      <c r="A32" s="8" t="s">
        <v>162</v>
      </c>
      <c r="B32" s="14">
        <v>1998</v>
      </c>
      <c r="C32">
        <v>35</v>
      </c>
      <c r="D32" s="23">
        <v>35717</v>
      </c>
      <c r="E32">
        <v>23.91</v>
      </c>
      <c r="F32" s="18">
        <f t="shared" si="1"/>
        <v>8368.5000000000018</v>
      </c>
      <c r="G32">
        <v>0.81</v>
      </c>
      <c r="H32" s="19">
        <v>31.24</v>
      </c>
      <c r="I32" s="21">
        <f t="shared" si="8"/>
        <v>3.3877038895859473</v>
      </c>
      <c r="J32">
        <v>0.44800000000000001</v>
      </c>
      <c r="K32">
        <v>3.92</v>
      </c>
      <c r="L32">
        <v>2.3199999999999998</v>
      </c>
      <c r="M32">
        <v>0.40600000000000003</v>
      </c>
      <c r="N32">
        <v>0.39900000000000002</v>
      </c>
      <c r="Q32">
        <f t="shared" si="2"/>
        <v>8368.5</v>
      </c>
      <c r="R32" s="19">
        <f t="shared" si="3"/>
        <v>283.5</v>
      </c>
      <c r="S32" s="19">
        <f t="shared" si="4"/>
        <v>37.490880000000004</v>
      </c>
      <c r="T32" s="19">
        <f t="shared" si="5"/>
        <v>328.04519999999997</v>
      </c>
      <c r="U32" s="19">
        <f t="shared" si="6"/>
        <v>194.14919999999998</v>
      </c>
      <c r="V32" s="19">
        <f t="shared" si="7"/>
        <v>33.976110000000006</v>
      </c>
      <c r="X32" s="20"/>
      <c r="Y32" s="19"/>
    </row>
    <row r="33" spans="1:25" x14ac:dyDescent="0.25">
      <c r="A33" s="8" t="s">
        <v>163</v>
      </c>
      <c r="B33" s="14">
        <v>1999</v>
      </c>
      <c r="C33">
        <v>35</v>
      </c>
      <c r="D33" s="23">
        <v>36063</v>
      </c>
      <c r="E33">
        <v>23.56</v>
      </c>
      <c r="F33" s="18">
        <f t="shared" si="1"/>
        <v>8245.9999999999982</v>
      </c>
      <c r="G33">
        <v>0.84</v>
      </c>
      <c r="I33" s="21">
        <f t="shared" si="8"/>
        <v>3.5653650254668934</v>
      </c>
      <c r="J33">
        <v>0.53600000000000003</v>
      </c>
      <c r="K33">
        <v>4.38</v>
      </c>
      <c r="L33">
        <v>1.68</v>
      </c>
      <c r="M33">
        <v>0.378</v>
      </c>
      <c r="N33">
        <v>0.65100000000000002</v>
      </c>
      <c r="Q33">
        <f t="shared" si="2"/>
        <v>8246</v>
      </c>
      <c r="R33" s="19">
        <f t="shared" si="3"/>
        <v>294.00000000000006</v>
      </c>
      <c r="S33" s="19">
        <f t="shared" si="4"/>
        <v>44.198560000000008</v>
      </c>
      <c r="T33" s="19">
        <f t="shared" si="5"/>
        <v>361.17479999999995</v>
      </c>
      <c r="U33" s="19">
        <f t="shared" si="6"/>
        <v>138.53279999999998</v>
      </c>
      <c r="V33" s="19">
        <f t="shared" si="7"/>
        <v>31.169879999999999</v>
      </c>
      <c r="W33" s="19"/>
      <c r="X33" s="20"/>
      <c r="Y33" s="19"/>
    </row>
    <row r="34" spans="1:25" x14ac:dyDescent="0.25">
      <c r="A34" s="8" t="s">
        <v>164</v>
      </c>
      <c r="B34" s="14">
        <v>2000</v>
      </c>
      <c r="C34">
        <v>35</v>
      </c>
      <c r="D34" s="23">
        <v>36427</v>
      </c>
      <c r="E34">
        <v>21.48</v>
      </c>
      <c r="F34" s="18">
        <f t="shared" si="1"/>
        <v>7518.0000000000009</v>
      </c>
      <c r="G34" s="21">
        <v>0.84499999999999997</v>
      </c>
      <c r="H34" s="21"/>
      <c r="I34" s="21">
        <f t="shared" si="8"/>
        <v>3.9338919925512106</v>
      </c>
      <c r="J34">
        <v>0.54400000000000004</v>
      </c>
      <c r="K34" s="21">
        <v>4.0999999999999996</v>
      </c>
      <c r="L34">
        <v>1.56</v>
      </c>
      <c r="M34">
        <v>0.35199999999999998</v>
      </c>
      <c r="N34">
        <v>0.69399999999999995</v>
      </c>
      <c r="Q34">
        <f t="shared" si="2"/>
        <v>7518</v>
      </c>
      <c r="R34" s="19">
        <f t="shared" si="3"/>
        <v>295.75</v>
      </c>
      <c r="S34" s="19">
        <f t="shared" si="4"/>
        <v>40.897920000000006</v>
      </c>
      <c r="T34" s="19">
        <f t="shared" si="5"/>
        <v>308.23799999999994</v>
      </c>
      <c r="U34" s="19">
        <f t="shared" si="6"/>
        <v>117.2808</v>
      </c>
      <c r="V34" s="19">
        <f t="shared" si="7"/>
        <v>26.463359999999998</v>
      </c>
      <c r="W34" s="19"/>
      <c r="X34" s="20"/>
      <c r="Y34" s="19"/>
    </row>
    <row r="35" spans="1:25" x14ac:dyDescent="0.25">
      <c r="A35" s="8" t="s">
        <v>165</v>
      </c>
      <c r="B35" s="14">
        <v>2001</v>
      </c>
      <c r="C35">
        <v>35</v>
      </c>
      <c r="D35" s="23">
        <v>36803</v>
      </c>
      <c r="E35">
        <v>23.38</v>
      </c>
      <c r="F35" s="18">
        <f t="shared" si="1"/>
        <v>8183</v>
      </c>
      <c r="G35">
        <v>0.65</v>
      </c>
      <c r="I35" s="21">
        <f t="shared" si="8"/>
        <v>2.7801539777587685</v>
      </c>
      <c r="J35">
        <v>0.72199999999999998</v>
      </c>
      <c r="K35" s="21">
        <v>4.3</v>
      </c>
      <c r="L35" s="21">
        <v>1.6</v>
      </c>
      <c r="M35">
        <v>0.41199999999999998</v>
      </c>
      <c r="N35">
        <v>0.378</v>
      </c>
      <c r="Q35">
        <f t="shared" si="2"/>
        <v>8183</v>
      </c>
      <c r="R35" s="19">
        <f t="shared" si="3"/>
        <v>227.50000000000003</v>
      </c>
      <c r="S35" s="19">
        <f t="shared" si="4"/>
        <v>59.08126</v>
      </c>
      <c r="T35" s="19">
        <f t="shared" si="5"/>
        <v>351.86900000000003</v>
      </c>
      <c r="U35" s="19">
        <f t="shared" si="6"/>
        <v>130.92800000000003</v>
      </c>
      <c r="V35" s="19">
        <f t="shared" si="7"/>
        <v>33.71396</v>
      </c>
      <c r="W35" s="19"/>
      <c r="X35" s="20"/>
      <c r="Y35" s="19"/>
    </row>
    <row r="36" spans="1:25" x14ac:dyDescent="0.25">
      <c r="A36" s="8" t="s">
        <v>166</v>
      </c>
      <c r="B36" s="14">
        <v>2002</v>
      </c>
      <c r="C36">
        <v>35</v>
      </c>
      <c r="D36" s="23">
        <v>37146</v>
      </c>
      <c r="E36">
        <v>24.64</v>
      </c>
      <c r="F36" s="18">
        <f t="shared" si="1"/>
        <v>8624</v>
      </c>
      <c r="G36" s="21">
        <v>0.60499999999999998</v>
      </c>
      <c r="H36" s="21"/>
      <c r="I36" s="21">
        <f t="shared" si="8"/>
        <v>2.4553571428571423</v>
      </c>
      <c r="J36">
        <v>0.56200000000000006</v>
      </c>
      <c r="K36" s="21">
        <v>4.63</v>
      </c>
      <c r="L36">
        <v>2.48</v>
      </c>
      <c r="M36">
        <v>0.40799999999999997</v>
      </c>
      <c r="N36" s="20">
        <v>0.45</v>
      </c>
      <c r="Q36">
        <f t="shared" si="2"/>
        <v>8624</v>
      </c>
      <c r="R36" s="19">
        <f t="shared" si="3"/>
        <v>211.74999999999997</v>
      </c>
      <c r="S36" s="19">
        <f t="shared" si="4"/>
        <v>48.466880000000003</v>
      </c>
      <c r="T36" s="19">
        <f t="shared" si="5"/>
        <v>399.29120000000006</v>
      </c>
      <c r="U36" s="19">
        <f t="shared" si="6"/>
        <v>213.87520000000001</v>
      </c>
      <c r="V36" s="19">
        <f t="shared" si="7"/>
        <v>35.185919999999996</v>
      </c>
      <c r="W36" s="19"/>
      <c r="X36" s="20"/>
      <c r="Y36" s="19"/>
    </row>
    <row r="37" spans="1:25" x14ac:dyDescent="0.25">
      <c r="A37" s="8" t="s">
        <v>167</v>
      </c>
      <c r="B37" s="14">
        <v>2003</v>
      </c>
      <c r="C37">
        <v>35</v>
      </c>
      <c r="D37" s="23">
        <v>37531</v>
      </c>
      <c r="E37">
        <v>21.98</v>
      </c>
      <c r="F37" s="18">
        <f t="shared" si="1"/>
        <v>7693.0000000000009</v>
      </c>
      <c r="G37" s="22" t="s">
        <v>168</v>
      </c>
      <c r="H37" s="22"/>
      <c r="I37" s="21"/>
      <c r="J37">
        <v>0.64400000000000002</v>
      </c>
      <c r="K37" s="21">
        <v>3.98</v>
      </c>
      <c r="L37">
        <v>2.08</v>
      </c>
      <c r="M37">
        <v>0.45200000000000001</v>
      </c>
      <c r="N37">
        <v>0.42699999999999999</v>
      </c>
      <c r="Q37">
        <f t="shared" si="2"/>
        <v>7693</v>
      </c>
      <c r="R37" s="19">
        <f t="shared" si="3"/>
        <v>0</v>
      </c>
      <c r="S37" s="19">
        <f t="shared" si="4"/>
        <v>49.542920000000002</v>
      </c>
      <c r="T37" s="19">
        <f t="shared" si="5"/>
        <v>306.1814</v>
      </c>
      <c r="U37" s="19">
        <f t="shared" si="6"/>
        <v>160.01439999999999</v>
      </c>
      <c r="V37" s="19">
        <f t="shared" si="7"/>
        <v>34.772359999999999</v>
      </c>
      <c r="W37" s="19"/>
      <c r="X37" s="20"/>
      <c r="Y37" s="19"/>
    </row>
    <row r="38" spans="1:25" x14ac:dyDescent="0.25">
      <c r="A38" s="8" t="s">
        <v>169</v>
      </c>
      <c r="B38" s="14">
        <v>2004</v>
      </c>
      <c r="C38">
        <v>35</v>
      </c>
      <c r="D38" s="23">
        <v>37889</v>
      </c>
      <c r="E38">
        <v>24.84</v>
      </c>
      <c r="F38" s="18">
        <f t="shared" si="1"/>
        <v>8693.9999999999982</v>
      </c>
      <c r="G38" s="21">
        <v>0.60499999999999998</v>
      </c>
      <c r="H38" s="21"/>
      <c r="I38" s="21">
        <f t="shared" si="8"/>
        <v>2.4355877616747184</v>
      </c>
      <c r="J38">
        <v>0.80400000000000005</v>
      </c>
      <c r="K38" s="21">
        <v>4.34</v>
      </c>
      <c r="L38">
        <v>1.69</v>
      </c>
      <c r="M38" s="20">
        <v>0.55000000000000004</v>
      </c>
      <c r="N38">
        <v>0.22800000000000001</v>
      </c>
      <c r="Q38">
        <f t="shared" si="2"/>
        <v>8694</v>
      </c>
      <c r="R38" s="19">
        <f t="shared" si="3"/>
        <v>211.75</v>
      </c>
      <c r="S38" s="19">
        <f t="shared" si="4"/>
        <v>69.899760000000001</v>
      </c>
      <c r="T38" s="19">
        <f t="shared" si="5"/>
        <v>377.31959999999998</v>
      </c>
      <c r="U38" s="19">
        <f t="shared" si="6"/>
        <v>146.92859999999999</v>
      </c>
      <c r="V38" s="19">
        <f t="shared" si="7"/>
        <v>47.817000000000007</v>
      </c>
      <c r="W38" s="19"/>
      <c r="X38" s="20"/>
      <c r="Y38" s="19"/>
    </row>
    <row r="39" spans="1:25" x14ac:dyDescent="0.25">
      <c r="A39" s="8" t="s">
        <v>170</v>
      </c>
      <c r="B39" s="14">
        <v>2005</v>
      </c>
      <c r="C39">
        <v>35</v>
      </c>
      <c r="D39" s="23">
        <v>38278</v>
      </c>
      <c r="E39" s="21">
        <v>24.5</v>
      </c>
      <c r="F39" s="18">
        <f t="shared" si="1"/>
        <v>8575</v>
      </c>
      <c r="G39" s="21">
        <v>0.45200000000000001</v>
      </c>
      <c r="H39" s="21"/>
      <c r="I39" s="21">
        <f t="shared" si="8"/>
        <v>1.8448979591836736</v>
      </c>
      <c r="J39">
        <v>0.35399999999999998</v>
      </c>
      <c r="K39" s="21">
        <v>2.98</v>
      </c>
      <c r="L39" s="21">
        <v>0.97</v>
      </c>
      <c r="M39" s="20">
        <v>0.25800000000000001</v>
      </c>
      <c r="N39" s="20">
        <v>9.9000000000000005E-2</v>
      </c>
      <c r="O39" s="20"/>
      <c r="Q39">
        <f t="shared" si="2"/>
        <v>8575</v>
      </c>
      <c r="R39" s="19">
        <f t="shared" si="3"/>
        <v>158.20000000000002</v>
      </c>
      <c r="S39" s="19">
        <f t="shared" si="4"/>
        <v>30.355499999999999</v>
      </c>
      <c r="T39" s="19">
        <f t="shared" si="5"/>
        <v>255.535</v>
      </c>
      <c r="U39" s="19">
        <f t="shared" si="6"/>
        <v>83.177499999999995</v>
      </c>
      <c r="V39" s="19">
        <f t="shared" si="7"/>
        <v>22.1235</v>
      </c>
      <c r="W39" s="19"/>
      <c r="X39" s="20"/>
      <c r="Y39" s="19"/>
    </row>
    <row r="40" spans="1:25" x14ac:dyDescent="0.25">
      <c r="A40" s="8" t="s">
        <v>171</v>
      </c>
      <c r="B40" s="14">
        <v>2006</v>
      </c>
      <c r="C40">
        <v>35</v>
      </c>
      <c r="D40" s="23">
        <v>38623</v>
      </c>
      <c r="E40" s="21">
        <v>26.7</v>
      </c>
      <c r="F40" s="18">
        <f t="shared" si="1"/>
        <v>9345</v>
      </c>
      <c r="G40" s="21">
        <v>0.58399999999999996</v>
      </c>
      <c r="H40" s="21"/>
      <c r="I40" s="21">
        <f t="shared" si="8"/>
        <v>2.1872659176029963</v>
      </c>
      <c r="J40" s="16">
        <v>0.63600000000000001</v>
      </c>
      <c r="K40" s="25">
        <v>3.09</v>
      </c>
      <c r="L40" s="25">
        <v>2.1800000000000002</v>
      </c>
      <c r="M40" s="26">
        <v>0.65200000000000002</v>
      </c>
      <c r="N40" s="26">
        <v>0.35799999999999998</v>
      </c>
      <c r="O40" s="26"/>
      <c r="P40" s="16"/>
      <c r="Q40">
        <f t="shared" si="2"/>
        <v>9345</v>
      </c>
      <c r="R40" s="19">
        <f t="shared" si="3"/>
        <v>204.4</v>
      </c>
      <c r="S40" s="19">
        <f t="shared" si="4"/>
        <v>59.434200000000004</v>
      </c>
      <c r="T40" s="19">
        <f t="shared" si="5"/>
        <v>288.76049999999998</v>
      </c>
      <c r="U40" s="19">
        <f t="shared" si="6"/>
        <v>203.72100000000003</v>
      </c>
      <c r="V40" s="19">
        <f t="shared" si="7"/>
        <v>60.929400000000008</v>
      </c>
      <c r="W40" s="27"/>
      <c r="X40" s="20"/>
      <c r="Y40" s="19"/>
    </row>
    <row r="41" spans="1:25" x14ac:dyDescent="0.25">
      <c r="A41" s="8" t="s">
        <v>172</v>
      </c>
      <c r="B41" s="14">
        <v>2007</v>
      </c>
      <c r="C41">
        <v>35</v>
      </c>
      <c r="D41" s="23">
        <v>38994</v>
      </c>
      <c r="E41">
        <v>25.35</v>
      </c>
      <c r="F41" s="18">
        <f t="shared" si="1"/>
        <v>8872.5</v>
      </c>
      <c r="G41" s="21">
        <v>0.65600000000000003</v>
      </c>
      <c r="H41" s="21"/>
      <c r="I41" s="21">
        <f t="shared" si="8"/>
        <v>2.5877712031558184</v>
      </c>
      <c r="J41" s="28">
        <v>0.45035031240000001</v>
      </c>
      <c r="K41" s="28">
        <v>2.5000817504999997</v>
      </c>
      <c r="L41" s="28">
        <v>1.884853278</v>
      </c>
      <c r="M41" s="28">
        <v>0.35990748620000002</v>
      </c>
      <c r="N41" s="28">
        <v>0.15801016629999998</v>
      </c>
      <c r="O41" s="28"/>
      <c r="P41" s="16"/>
      <c r="Q41">
        <f t="shared" si="2"/>
        <v>8872.5</v>
      </c>
      <c r="R41" s="19">
        <f t="shared" si="3"/>
        <v>229.6</v>
      </c>
      <c r="S41" s="19">
        <f t="shared" si="4"/>
        <v>39.957331467690004</v>
      </c>
      <c r="T41" s="19">
        <f t="shared" si="5"/>
        <v>221.8197533131125</v>
      </c>
      <c r="U41" s="19">
        <f t="shared" si="6"/>
        <v>167.23360709055001</v>
      </c>
      <c r="V41" s="19">
        <f t="shared" si="7"/>
        <v>31.932791713095003</v>
      </c>
      <c r="W41" s="27"/>
      <c r="X41" s="20"/>
      <c r="Y41" s="19"/>
    </row>
    <row r="42" spans="1:25" x14ac:dyDescent="0.25">
      <c r="A42" s="8" t="s">
        <v>173</v>
      </c>
      <c r="B42" s="14">
        <v>2008</v>
      </c>
      <c r="C42">
        <v>35</v>
      </c>
      <c r="D42" s="23">
        <v>39365</v>
      </c>
      <c r="E42" s="21">
        <v>23.3</v>
      </c>
      <c r="F42" s="18">
        <f t="shared" si="1"/>
        <v>8154.9999999999991</v>
      </c>
      <c r="G42" s="21">
        <v>0.54400000000000004</v>
      </c>
      <c r="H42" s="21"/>
      <c r="I42" s="21">
        <f t="shared" ref="I42:I50" si="9">G42*(100/E42)</f>
        <v>2.3347639484978542</v>
      </c>
      <c r="J42" s="28">
        <v>0.43278981015000001</v>
      </c>
      <c r="K42" s="28">
        <v>4.1578894130000004</v>
      </c>
      <c r="L42" s="28">
        <v>1.207459313</v>
      </c>
      <c r="M42" s="28">
        <v>0.30806763034999995</v>
      </c>
      <c r="N42" s="28">
        <v>0.27038045064999999</v>
      </c>
      <c r="O42" s="28"/>
      <c r="P42" s="16"/>
      <c r="Q42">
        <f t="shared" si="2"/>
        <v>8155</v>
      </c>
      <c r="R42" s="19">
        <f t="shared" si="3"/>
        <v>190.4</v>
      </c>
      <c r="S42" s="19">
        <f t="shared" si="4"/>
        <v>35.294009017732499</v>
      </c>
      <c r="T42" s="19">
        <f t="shared" si="5"/>
        <v>339.07588163015004</v>
      </c>
      <c r="U42" s="19">
        <f t="shared" si="6"/>
        <v>98.468306975149986</v>
      </c>
      <c r="V42" s="19">
        <f t="shared" si="7"/>
        <v>25.122915255042496</v>
      </c>
      <c r="W42" s="27"/>
      <c r="X42" s="20"/>
      <c r="Y42" s="19"/>
    </row>
    <row r="43" spans="1:25" x14ac:dyDescent="0.25">
      <c r="A43" s="8" t="s">
        <v>174</v>
      </c>
      <c r="B43" s="14">
        <v>2009</v>
      </c>
      <c r="C43">
        <v>35</v>
      </c>
      <c r="D43" s="23">
        <v>39743</v>
      </c>
      <c r="E43">
        <v>23.55</v>
      </c>
      <c r="F43" s="18">
        <f t="shared" si="1"/>
        <v>8242.5</v>
      </c>
      <c r="G43" s="21">
        <v>0.68899999999999995</v>
      </c>
      <c r="H43" s="21"/>
      <c r="I43" s="21">
        <f t="shared" si="9"/>
        <v>2.9256900212314223</v>
      </c>
      <c r="J43" s="29">
        <v>0.67183904080000012</v>
      </c>
      <c r="K43" s="29">
        <v>2.7638617915000001</v>
      </c>
      <c r="L43" s="29">
        <v>1.4356671569999997</v>
      </c>
      <c r="M43" s="29">
        <v>0.43773554049999996</v>
      </c>
      <c r="N43" s="29">
        <v>0.22780428284999998</v>
      </c>
      <c r="O43" s="29"/>
      <c r="P43" s="16"/>
      <c r="Q43">
        <f t="shared" si="2"/>
        <v>8242.5</v>
      </c>
      <c r="R43" s="19">
        <f t="shared" si="3"/>
        <v>241.15</v>
      </c>
      <c r="S43" s="19">
        <f t="shared" si="4"/>
        <v>55.376332937940006</v>
      </c>
      <c r="T43" s="19">
        <f t="shared" si="5"/>
        <v>227.81130816438753</v>
      </c>
      <c r="U43" s="19">
        <f t="shared" si="6"/>
        <v>118.33486541572498</v>
      </c>
      <c r="V43" s="19">
        <f t="shared" si="7"/>
        <v>36.080351925712499</v>
      </c>
      <c r="W43" s="27"/>
      <c r="X43" s="20"/>
      <c r="Y43" s="19"/>
    </row>
    <row r="44" spans="1:25" x14ac:dyDescent="0.25">
      <c r="A44" s="8" t="s">
        <v>175</v>
      </c>
      <c r="B44" s="14">
        <v>2010</v>
      </c>
      <c r="C44">
        <v>35</v>
      </c>
      <c r="D44" s="23">
        <v>40073</v>
      </c>
      <c r="E44" s="21">
        <v>23.35</v>
      </c>
      <c r="F44" s="18">
        <f t="shared" si="1"/>
        <v>8172.4999999999991</v>
      </c>
      <c r="G44" s="21">
        <v>0.745</v>
      </c>
      <c r="H44" s="21"/>
      <c r="I44" s="21">
        <f t="shared" si="9"/>
        <v>3.1905781584582438</v>
      </c>
      <c r="J44" s="29">
        <v>0.55567204049999996</v>
      </c>
      <c r="K44" s="29">
        <v>3.1923858644999998</v>
      </c>
      <c r="L44" s="29">
        <v>1.7335928905</v>
      </c>
      <c r="M44" s="29">
        <v>0.46809769835000009</v>
      </c>
      <c r="N44" s="29">
        <v>0.27545382029999999</v>
      </c>
      <c r="O44" s="29"/>
      <c r="P44" s="16"/>
      <c r="Q44">
        <f t="shared" si="2"/>
        <v>8172.5</v>
      </c>
      <c r="R44" s="19">
        <f t="shared" si="3"/>
        <v>260.74999999999994</v>
      </c>
      <c r="S44" s="19">
        <f t="shared" si="4"/>
        <v>45.412297509862505</v>
      </c>
      <c r="T44" s="19">
        <f t="shared" si="5"/>
        <v>260.8977347762625</v>
      </c>
      <c r="U44" s="19">
        <f t="shared" si="6"/>
        <v>141.67787897611251</v>
      </c>
      <c r="V44" s="19">
        <f t="shared" si="7"/>
        <v>38.25528439765376</v>
      </c>
      <c r="W44" s="27"/>
      <c r="X44" s="20"/>
      <c r="Y44" s="19"/>
    </row>
    <row r="45" spans="1:25" x14ac:dyDescent="0.25">
      <c r="A45" s="8" t="s">
        <v>176</v>
      </c>
      <c r="B45" s="14">
        <v>2011</v>
      </c>
      <c r="C45">
        <v>35</v>
      </c>
      <c r="D45" s="23">
        <v>40459</v>
      </c>
      <c r="E45" s="21">
        <v>36</v>
      </c>
      <c r="F45" s="18">
        <f t="shared" si="1"/>
        <v>12600</v>
      </c>
      <c r="G45" s="21">
        <v>0.55750000000000011</v>
      </c>
      <c r="H45" s="21"/>
      <c r="I45" s="21">
        <f t="shared" si="9"/>
        <v>1.5486111111111114</v>
      </c>
      <c r="J45" s="29">
        <v>0.35631571044999999</v>
      </c>
      <c r="K45" s="29">
        <v>1.1850134674999999</v>
      </c>
      <c r="L45" s="29">
        <v>3.0535494404999999</v>
      </c>
      <c r="M45" s="29">
        <v>0.34724605949999998</v>
      </c>
      <c r="N45" s="29">
        <v>0.14095628909999999</v>
      </c>
      <c r="O45" s="29"/>
      <c r="P45" s="16"/>
      <c r="Q45">
        <f t="shared" si="2"/>
        <v>12600</v>
      </c>
      <c r="R45" s="19">
        <f t="shared" si="3"/>
        <v>195.12500000000003</v>
      </c>
      <c r="S45" s="19">
        <f t="shared" si="4"/>
        <v>44.895779516699996</v>
      </c>
      <c r="T45" s="19">
        <f t="shared" si="5"/>
        <v>149.31169690499999</v>
      </c>
      <c r="U45" s="19">
        <f t="shared" si="6"/>
        <v>384.74722950299997</v>
      </c>
      <c r="V45" s="19">
        <f t="shared" si="7"/>
        <v>43.753003497000002</v>
      </c>
      <c r="W45" s="27"/>
      <c r="X45" s="20"/>
      <c r="Y45" s="19"/>
    </row>
    <row r="46" spans="1:25" x14ac:dyDescent="0.25">
      <c r="A46" s="8" t="s">
        <v>177</v>
      </c>
      <c r="B46" s="14">
        <v>2012</v>
      </c>
      <c r="C46">
        <v>35</v>
      </c>
      <c r="D46" s="23">
        <v>40814</v>
      </c>
      <c r="E46" s="21">
        <v>27.5</v>
      </c>
      <c r="F46" s="18">
        <f t="shared" si="1"/>
        <v>9625</v>
      </c>
      <c r="G46" s="21">
        <v>0.8075</v>
      </c>
      <c r="H46" s="21"/>
      <c r="I46" s="21">
        <f t="shared" si="9"/>
        <v>2.9363636363636361</v>
      </c>
      <c r="J46" s="29">
        <v>0.52667717670000003</v>
      </c>
      <c r="K46" s="29">
        <v>3.4023424964999998</v>
      </c>
      <c r="L46" s="29">
        <v>1.7471133889999997</v>
      </c>
      <c r="M46" s="29">
        <v>0.50189992174999998</v>
      </c>
      <c r="N46" s="29">
        <v>0.41677286925000001</v>
      </c>
      <c r="O46" s="29"/>
      <c r="P46" s="16"/>
      <c r="Q46">
        <f t="shared" si="2"/>
        <v>9625</v>
      </c>
      <c r="R46" s="19">
        <f t="shared" si="3"/>
        <v>282.62499999999994</v>
      </c>
      <c r="S46" s="19">
        <f t="shared" si="4"/>
        <v>50.692678257375</v>
      </c>
      <c r="T46" s="19">
        <f t="shared" si="5"/>
        <v>327.47546528812501</v>
      </c>
      <c r="U46" s="19">
        <f t="shared" si="6"/>
        <v>168.15966369124996</v>
      </c>
      <c r="V46" s="19">
        <f t="shared" si="7"/>
        <v>48.3078674684375</v>
      </c>
      <c r="W46" s="27"/>
      <c r="X46" s="20"/>
      <c r="Y46" s="19"/>
    </row>
    <row r="47" spans="1:25" x14ac:dyDescent="0.25">
      <c r="A47" s="8" t="s">
        <v>178</v>
      </c>
      <c r="B47" s="14">
        <v>2013</v>
      </c>
      <c r="C47">
        <v>35</v>
      </c>
      <c r="D47" s="23">
        <v>41185</v>
      </c>
      <c r="E47">
        <v>32.65</v>
      </c>
      <c r="F47" s="18">
        <f t="shared" si="1"/>
        <v>11427.5</v>
      </c>
      <c r="G47" s="21">
        <v>0.89280000000000004</v>
      </c>
      <c r="H47" s="21"/>
      <c r="I47" s="21">
        <f t="shared" si="9"/>
        <v>2.7344563552833083</v>
      </c>
      <c r="J47" s="29">
        <v>0.62709525109999997</v>
      </c>
      <c r="K47" s="29">
        <v>2.5961291989999999</v>
      </c>
      <c r="L47" s="29">
        <v>1.9438629025000003</v>
      </c>
      <c r="M47" s="29">
        <v>0.46706594970000004</v>
      </c>
      <c r="N47" s="29">
        <v>0.32598326099999997</v>
      </c>
      <c r="O47" s="29"/>
      <c r="P47" s="16"/>
      <c r="Q47">
        <f t="shared" si="2"/>
        <v>11427.5</v>
      </c>
      <c r="R47" s="19">
        <f t="shared" si="3"/>
        <v>312.48000000000008</v>
      </c>
      <c r="S47" s="19">
        <f t="shared" si="4"/>
        <v>71.661309819452498</v>
      </c>
      <c r="T47" s="19">
        <f t="shared" si="5"/>
        <v>296.67266421572498</v>
      </c>
      <c r="U47" s="19">
        <f t="shared" si="6"/>
        <v>222.13493318318754</v>
      </c>
      <c r="V47" s="19">
        <f t="shared" si="7"/>
        <v>53.373961401967506</v>
      </c>
      <c r="W47" s="27"/>
      <c r="X47" s="20"/>
      <c r="Y47" s="19"/>
    </row>
    <row r="48" spans="1:25" x14ac:dyDescent="0.25">
      <c r="A48" s="8" t="s">
        <v>179</v>
      </c>
      <c r="B48" s="14">
        <v>2014</v>
      </c>
      <c r="C48">
        <v>35</v>
      </c>
      <c r="D48" s="23">
        <v>41551</v>
      </c>
      <c r="E48">
        <v>27.75</v>
      </c>
      <c r="F48" s="18">
        <f t="shared" si="1"/>
        <v>9712.5</v>
      </c>
      <c r="G48" s="21">
        <v>0.7824000000000001</v>
      </c>
      <c r="H48" s="21"/>
      <c r="I48" s="21">
        <f t="shared" si="9"/>
        <v>2.81945945945946</v>
      </c>
      <c r="J48" s="29">
        <v>0.59316961490000009</v>
      </c>
      <c r="K48" s="29">
        <v>2.6387544150000002</v>
      </c>
      <c r="L48" s="29">
        <v>2.1887464310000002</v>
      </c>
      <c r="M48" s="29">
        <v>0.47784790200000005</v>
      </c>
      <c r="N48" s="29">
        <v>0.20116073279999999</v>
      </c>
      <c r="O48" s="29"/>
      <c r="P48" s="16"/>
      <c r="Q48">
        <f t="shared" si="2"/>
        <v>9712.5</v>
      </c>
      <c r="R48" s="19">
        <f t="shared" si="3"/>
        <v>273.84000000000003</v>
      </c>
      <c r="S48" s="19">
        <f t="shared" si="4"/>
        <v>57.611598847162504</v>
      </c>
      <c r="T48" s="19">
        <f t="shared" si="5"/>
        <v>256.28902255687501</v>
      </c>
      <c r="U48" s="19">
        <f t="shared" si="6"/>
        <v>212.58199711087502</v>
      </c>
      <c r="V48" s="19">
        <f t="shared" si="7"/>
        <v>46.41097748175001</v>
      </c>
      <c r="W48" s="27"/>
      <c r="X48" s="20"/>
      <c r="Y48" s="19"/>
    </row>
    <row r="49" spans="1:25" x14ac:dyDescent="0.25">
      <c r="A49" s="8" t="s">
        <v>180</v>
      </c>
      <c r="B49" s="14">
        <v>2015</v>
      </c>
      <c r="C49">
        <v>35</v>
      </c>
      <c r="D49" s="23">
        <v>41915</v>
      </c>
      <c r="E49">
        <v>29.75</v>
      </c>
      <c r="F49" s="18">
        <f t="shared" si="1"/>
        <v>10412.5</v>
      </c>
      <c r="G49" s="21">
        <v>0.73635000000000006</v>
      </c>
      <c r="H49" s="21"/>
      <c r="I49" s="21">
        <f t="shared" si="9"/>
        <v>2.4751260504201684</v>
      </c>
      <c r="J49" s="29">
        <v>0.43327844384999997</v>
      </c>
      <c r="K49" s="29">
        <v>3.0492898524999998</v>
      </c>
      <c r="L49" s="29">
        <v>1.8328945925</v>
      </c>
      <c r="M49" s="29">
        <v>0.40524645070000004</v>
      </c>
      <c r="N49" s="29">
        <v>0.24424019235</v>
      </c>
      <c r="O49" s="29"/>
      <c r="P49" s="16"/>
      <c r="Q49">
        <f t="shared" si="2"/>
        <v>10412.5</v>
      </c>
      <c r="R49" s="19">
        <f t="shared" si="3"/>
        <v>257.72250000000003</v>
      </c>
      <c r="S49" s="19">
        <f t="shared" si="4"/>
        <v>45.115117965881247</v>
      </c>
      <c r="T49" s="19">
        <f t="shared" si="5"/>
        <v>317.50730589156251</v>
      </c>
      <c r="U49" s="19">
        <f t="shared" si="6"/>
        <v>190.85014944406248</v>
      </c>
      <c r="V49" s="19">
        <f t="shared" si="7"/>
        <v>42.196286679137501</v>
      </c>
      <c r="W49" s="27"/>
      <c r="X49" s="20"/>
      <c r="Y49" s="19"/>
    </row>
    <row r="50" spans="1:25" x14ac:dyDescent="0.25">
      <c r="A50" s="8" t="s">
        <v>181</v>
      </c>
      <c r="B50" s="14">
        <v>2016</v>
      </c>
      <c r="C50">
        <v>35</v>
      </c>
      <c r="D50" s="23">
        <v>42278</v>
      </c>
      <c r="E50" s="21">
        <v>29.7</v>
      </c>
      <c r="F50" s="18">
        <f t="shared" si="1"/>
        <v>10395</v>
      </c>
      <c r="G50" s="21">
        <v>0.82380000000000009</v>
      </c>
      <c r="H50" s="21"/>
      <c r="I50" s="21">
        <f t="shared" si="9"/>
        <v>2.7737373737373741</v>
      </c>
      <c r="J50" s="29">
        <v>0.61919285839999993</v>
      </c>
      <c r="K50" s="29">
        <v>3.3222499160000001</v>
      </c>
      <c r="L50" s="29">
        <v>1.8644412479999999</v>
      </c>
      <c r="M50" s="29">
        <v>0.46285920965000005</v>
      </c>
      <c r="N50" s="29">
        <v>0.26272303064999997</v>
      </c>
      <c r="O50" s="29"/>
      <c r="P50" s="16"/>
      <c r="Q50">
        <f t="shared" si="2"/>
        <v>10395</v>
      </c>
      <c r="R50" s="19">
        <f t="shared" si="3"/>
        <v>288.33000000000004</v>
      </c>
      <c r="S50" s="19">
        <f t="shared" si="4"/>
        <v>64.365097630679998</v>
      </c>
      <c r="T50" s="19">
        <f t="shared" si="5"/>
        <v>345.34787876820002</v>
      </c>
      <c r="U50" s="19">
        <f t="shared" si="6"/>
        <v>193.80866772959999</v>
      </c>
      <c r="V50" s="19">
        <f t="shared" si="7"/>
        <v>48.114214843117509</v>
      </c>
      <c r="W50" s="27"/>
      <c r="X50" s="20"/>
      <c r="Y50" s="19"/>
    </row>
    <row r="51" spans="1:25" x14ac:dyDescent="0.25">
      <c r="A51" s="30" t="s">
        <v>182</v>
      </c>
      <c r="B51" s="14">
        <v>2017</v>
      </c>
      <c r="C51">
        <v>35</v>
      </c>
      <c r="D51" s="31">
        <v>42640</v>
      </c>
      <c r="E51" s="32">
        <v>34.849999999999994</v>
      </c>
      <c r="F51" s="18">
        <f t="shared" si="1"/>
        <v>12197.499999999998</v>
      </c>
      <c r="G51" s="21">
        <v>0.8742025000000001</v>
      </c>
      <c r="H51" s="21">
        <v>28.09</v>
      </c>
      <c r="I51" s="21">
        <v>2.4020000000000001</v>
      </c>
      <c r="J51" s="29">
        <v>0.74011992900000001</v>
      </c>
      <c r="K51" s="29">
        <v>2.5330711615000001</v>
      </c>
      <c r="L51" s="29">
        <v>2.3258447289999999</v>
      </c>
      <c r="M51" s="29">
        <v>0.51533013294999996</v>
      </c>
      <c r="N51" s="29">
        <v>0.18934504000000002</v>
      </c>
      <c r="O51" s="29"/>
      <c r="P51" s="16"/>
      <c r="Q51">
        <f t="shared" si="2"/>
        <v>12197.499999999998</v>
      </c>
      <c r="R51" s="19">
        <f t="shared" si="3"/>
        <v>292.98394999999999</v>
      </c>
      <c r="S51" s="19">
        <f t="shared" si="4"/>
        <v>90.276128339774985</v>
      </c>
      <c r="T51" s="19">
        <f t="shared" si="5"/>
        <v>308.97135492396245</v>
      </c>
      <c r="U51" s="19">
        <f t="shared" si="6"/>
        <v>283.69491081977498</v>
      </c>
      <c r="V51" s="19">
        <f t="shared" si="7"/>
        <v>62.857392966576235</v>
      </c>
      <c r="W51" s="27"/>
      <c r="X51" s="20"/>
      <c r="Y51" s="19"/>
    </row>
    <row r="52" spans="1:25" x14ac:dyDescent="0.25">
      <c r="A52" s="30" t="s">
        <v>183</v>
      </c>
      <c r="B52" s="14">
        <v>2018</v>
      </c>
      <c r="C52">
        <v>35</v>
      </c>
      <c r="D52" s="33">
        <v>43000</v>
      </c>
      <c r="E52" s="32">
        <v>29.95</v>
      </c>
      <c r="F52" s="18">
        <f t="shared" si="1"/>
        <v>10482.5</v>
      </c>
      <c r="G52" s="21">
        <v>0.86769250000000009</v>
      </c>
      <c r="H52" s="21">
        <v>33.064999999999998</v>
      </c>
      <c r="I52">
        <v>2.58</v>
      </c>
      <c r="J52" s="20">
        <v>0.71018188714999997</v>
      </c>
      <c r="K52" s="20">
        <v>3.6603390564999998</v>
      </c>
      <c r="L52" s="20">
        <v>2.1833220820000001</v>
      </c>
      <c r="M52" s="20">
        <v>0.55610027234999992</v>
      </c>
      <c r="N52" s="20">
        <v>0.27429359524999997</v>
      </c>
      <c r="O52" s="20"/>
      <c r="Q52">
        <f>C52*1000*E52*0.01</f>
        <v>10482.5</v>
      </c>
      <c r="R52" s="19">
        <f t="shared" si="3"/>
        <v>270.44850000000002</v>
      </c>
      <c r="S52" s="19">
        <f t="shared" si="4"/>
        <v>74.444816320498745</v>
      </c>
      <c r="T52" s="19">
        <f t="shared" si="5"/>
        <v>383.69504159761254</v>
      </c>
      <c r="U52" s="19">
        <f t="shared" si="6"/>
        <v>228.86673724565</v>
      </c>
      <c r="V52" s="19">
        <f t="shared" si="7"/>
        <v>58.29321104908874</v>
      </c>
      <c r="W52" s="27"/>
      <c r="X52" s="20"/>
      <c r="Y52" s="19"/>
    </row>
    <row r="53" spans="1:25" x14ac:dyDescent="0.25">
      <c r="A53" s="30" t="s">
        <v>184</v>
      </c>
      <c r="B53" s="14">
        <v>2019</v>
      </c>
      <c r="C53">
        <v>35</v>
      </c>
      <c r="D53" s="33">
        <v>43360</v>
      </c>
      <c r="E53" s="21">
        <v>24.9</v>
      </c>
      <c r="F53">
        <f t="shared" si="1"/>
        <v>8715</v>
      </c>
      <c r="G53" s="21">
        <v>0.64180749999999998</v>
      </c>
      <c r="H53" s="21">
        <v>36.36</v>
      </c>
      <c r="I53" s="21">
        <v>2.6760000000000002</v>
      </c>
      <c r="J53" s="20">
        <v>0.62880093515000002</v>
      </c>
      <c r="K53" s="20">
        <v>4.5280559924999997</v>
      </c>
      <c r="L53" s="20">
        <v>2.047472709</v>
      </c>
      <c r="M53" s="20">
        <v>0.47725539724999999</v>
      </c>
      <c r="N53" s="20">
        <v>0.30898028124999999</v>
      </c>
      <c r="O53" s="20"/>
      <c r="Q53">
        <f t="shared" si="2"/>
        <v>8715</v>
      </c>
      <c r="R53" s="19">
        <f t="shared" si="3"/>
        <v>233.21340000000001</v>
      </c>
      <c r="S53" s="19">
        <f t="shared" si="4"/>
        <v>54.800001498322501</v>
      </c>
      <c r="T53" s="19">
        <f t="shared" si="5"/>
        <v>394.62007974637498</v>
      </c>
      <c r="U53" s="19">
        <f t="shared" si="6"/>
        <v>178.43724658935</v>
      </c>
      <c r="V53" s="19">
        <f t="shared" si="7"/>
        <v>41.592807870337502</v>
      </c>
      <c r="W53" s="27"/>
      <c r="X53" s="20"/>
      <c r="Y53" s="19"/>
    </row>
    <row r="54" spans="1:25" x14ac:dyDescent="0.25">
      <c r="B54" s="14"/>
      <c r="D54" s="23"/>
    </row>
    <row r="55" spans="1:25" x14ac:dyDescent="0.25">
      <c r="B55" s="17"/>
      <c r="E55" s="21"/>
      <c r="F55" s="18"/>
      <c r="G55" s="21"/>
      <c r="H55" s="21"/>
      <c r="I55" s="20"/>
      <c r="J55" s="20"/>
      <c r="K55" s="20"/>
      <c r="L55" s="20"/>
      <c r="M55" s="20"/>
      <c r="N55" s="20"/>
      <c r="O55" s="20"/>
      <c r="P55" s="21"/>
      <c r="Q55" s="18"/>
      <c r="R55" s="18"/>
      <c r="S55" s="18"/>
      <c r="T55" s="18"/>
      <c r="U55" s="18"/>
      <c r="V55" s="18"/>
      <c r="W55" s="18"/>
      <c r="X55" s="21"/>
      <c r="Y55" s="19"/>
    </row>
    <row r="56" spans="1:25" x14ac:dyDescent="0.25">
      <c r="B56" s="17"/>
      <c r="E56" s="21"/>
      <c r="F56" s="18"/>
      <c r="G56" s="21"/>
      <c r="H56" s="21"/>
      <c r="I56" s="21"/>
      <c r="J56" s="20"/>
      <c r="K56" s="21"/>
      <c r="L56" s="21"/>
      <c r="M56" s="20"/>
      <c r="N56" s="20"/>
      <c r="O56" s="20"/>
      <c r="P56" s="21"/>
      <c r="Q56" s="18"/>
      <c r="R56" s="19"/>
      <c r="S56" s="18"/>
      <c r="T56" s="18"/>
      <c r="U56" s="19"/>
      <c r="V56" s="19"/>
      <c r="W56" s="19"/>
    </row>
    <row r="57" spans="1:25" x14ac:dyDescent="0.25">
      <c r="B57" s="14"/>
      <c r="O57" s="14"/>
      <c r="Q57" s="18"/>
      <c r="R57" s="19"/>
      <c r="S57" s="18"/>
      <c r="T57" s="18"/>
      <c r="U57" s="19"/>
      <c r="V57" s="19"/>
      <c r="W57" s="19"/>
      <c r="X57" s="21"/>
      <c r="Y57" s="19"/>
    </row>
    <row r="58" spans="1:25" x14ac:dyDescent="0.25">
      <c r="B58" s="14"/>
      <c r="D58" s="16"/>
      <c r="O58" s="17"/>
    </row>
    <row r="59" spans="1:25" x14ac:dyDescent="0.25">
      <c r="B59" s="14"/>
      <c r="D59" s="16"/>
    </row>
    <row r="60" spans="1:25" x14ac:dyDescent="0.25">
      <c r="B60" s="14"/>
      <c r="D60" s="16"/>
    </row>
    <row r="61" spans="1:25" x14ac:dyDescent="0.25">
      <c r="B61" s="14"/>
    </row>
    <row r="62" spans="1:25" x14ac:dyDescent="0.25">
      <c r="A62"/>
    </row>
    <row r="63" spans="1:25" x14ac:dyDescent="0.25">
      <c r="B63" s="14"/>
    </row>
    <row r="64" spans="1:25" x14ac:dyDescent="0.25">
      <c r="B64" s="14"/>
    </row>
    <row r="65" spans="1:11" x14ac:dyDescent="0.25">
      <c r="B65" s="14"/>
    </row>
    <row r="66" spans="1:11" x14ac:dyDescent="0.25">
      <c r="A66" s="15"/>
      <c r="B66" s="14"/>
    </row>
    <row r="67" spans="1:11" x14ac:dyDescent="0.25">
      <c r="B67" s="14"/>
    </row>
    <row r="68" spans="1:11" x14ac:dyDescent="0.25">
      <c r="A68" s="34"/>
      <c r="J68" s="18"/>
      <c r="K68" s="20"/>
    </row>
    <row r="69" spans="1:11" x14ac:dyDescent="0.25">
      <c r="J69" s="18"/>
    </row>
    <row r="71" spans="1:11" x14ac:dyDescent="0.25">
      <c r="A71" s="34"/>
      <c r="B71" s="35"/>
    </row>
    <row r="72" spans="1:11" x14ac:dyDescent="0.25">
      <c r="A72" s="15"/>
      <c r="D72" s="19"/>
    </row>
    <row r="74" spans="1:11" x14ac:dyDescent="0.25">
      <c r="A74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5E00D76AAD5468A7DA5B96E719526" ma:contentTypeVersion="11" ma:contentTypeDescription="Een nieuw document maken." ma:contentTypeScope="" ma:versionID="eafa35f9ce5c4b0a07aec55056c0e4a4">
  <xsd:schema xmlns:xsd="http://www.w3.org/2001/XMLSchema" xmlns:xs="http://www.w3.org/2001/XMLSchema" xmlns:p="http://schemas.microsoft.com/office/2006/metadata/properties" xmlns:ns3="fce687db-d828-4b24-a21a-acca3ba38554" xmlns:ns4="cf1d0561-bb3b-463e-985d-76e4bf71fc65" targetNamespace="http://schemas.microsoft.com/office/2006/metadata/properties" ma:root="true" ma:fieldsID="93568d7d60138a200c2d27e04c8fb758" ns3:_="" ns4:_="">
    <xsd:import namespace="fce687db-d828-4b24-a21a-acca3ba38554"/>
    <xsd:import namespace="cf1d0561-bb3b-463e-985d-76e4bf71fc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687db-d828-4b24-a21a-acca3ba38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d0561-bb3b-463e-985d-76e4bf71fc6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1BE07-A257-415C-9DF9-8EED09E4A7F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4E536E4-30BE-433B-A047-CD6D182827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A25127-6287-48EE-9679-D84290DC467B}">
  <ds:schemaRefs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f1d0561-bb3b-463e-985d-76e4bf71fc65"/>
    <ds:schemaRef ds:uri="fce687db-d828-4b24-a21a-acca3ba38554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74AFAF9C-5A82-4E56-AFAA-938A39A6A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687db-d828-4b24-a21a-acca3ba38554"/>
    <ds:schemaRef ds:uri="cf1d0561-bb3b-463e-985d-76e4bf71fc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Plot</vt:lpstr>
      <vt:lpstr>Fertilizers</vt:lpstr>
      <vt:lpstr>FYM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Reymann</dc:creator>
  <cp:lastModifiedBy>Schut, Tom</cp:lastModifiedBy>
  <dcterms:created xsi:type="dcterms:W3CDTF">2022-03-23T15:23:14Z</dcterms:created>
  <dcterms:modified xsi:type="dcterms:W3CDTF">2022-11-01T11:07:15Z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0x0101002105E00D76AAD5468A7DA5B96E719526</vt:lpwstr>
  </property>
</Properties>
</file>